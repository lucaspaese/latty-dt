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codes_py\projects_ERD\bd-produits-li\pages\"/>
    </mc:Choice>
  </mc:AlternateContent>
  <xr:revisionPtr revIDLastSave="0" documentId="13_ncr:1_{2F614E8F-8F0D-4E33-9F2D-3D825F8EF131}" xr6:coauthVersionLast="47" xr6:coauthVersionMax="47" xr10:uidLastSave="{00000000-0000-0000-0000-000000000000}"/>
  <bookViews>
    <workbookView xWindow="28680" yWindow="-120" windowWidth="29040" windowHeight="15720" xr2:uid="{D2962442-AD07-473D-9AF8-156B1556D59B}"/>
  </bookViews>
  <sheets>
    <sheet name="bd-avec joint plats " sheetId="9"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E193" i="9" l="1"/>
  <c r="AK36" i="9"/>
</calcChain>
</file>

<file path=xl/sharedStrings.xml><?xml version="1.0" encoding="utf-8"?>
<sst xmlns="http://schemas.openxmlformats.org/spreadsheetml/2006/main" count="1885" uniqueCount="991">
  <si>
    <t>Tresse réalisée à partir de fils et de filés de fibres aramide, de fils en soie de PTFE, imprégnés à coeur avant et pendant le tressage de polytétrafluoréthylène (PTFE) et de lubrifiants inertes.
Les fils continus en aramide, placés dans les angles, renforcent la tenue mécanique.</t>
  </si>
  <si>
    <t>obs_1</t>
  </si>
  <si>
    <t>Bonne tenue sur fluides abrasifs.</t>
  </si>
  <si>
    <t>obs_2</t>
  </si>
  <si>
    <t>Bien adaptée au presse-étoupe fortement sollicité.</t>
  </si>
  <si>
    <t>obs_3</t>
  </si>
  <si>
    <t>Bonne tenue de bagues, coupe aisée avec matériel adapté.</t>
  </si>
  <si>
    <t>A.Q. FTP 045 rév. 2</t>
  </si>
  <si>
    <t>Tresse réalisée à partir de fils de polytétrafluoréthylène, imprégnés de graphite à coeur et de lubrifiants inertes à base silicone.
L’ajout de graphite expansé au coeur de la tresse confère une souplesse ainsi qu’une reprise élastique remarquable.</t>
  </si>
  <si>
    <t>LATTY®core 3207 G</t>
  </si>
  <si>
    <t>LATTY®flon 4758</t>
  </si>
  <si>
    <t>A.Q. FTP 349 rév. 3</t>
  </si>
  <si>
    <t>Valeur moyenne de l’effort au décollement de la tige &lt; 2 daN/cm² de surface frottante et par 100 daN/cm² de pression de serrage (influence importante du lubrifiant).</t>
  </si>
  <si>
    <t>Pour éviter les risques de fluage dans certaines applications - pression élevée, jeux importants, risque d’abrasion - prévoir un montage avec des tresses anti-extrusion (LATTYflon 3206 S, LATTYflon 4757, etc ...).</t>
  </si>
  <si>
    <t>4758G</t>
  </si>
  <si>
    <t>LATTY®core 4758 G</t>
  </si>
  <si>
    <t>Tresse réalisée à partir de fils et de filés de fibres aramide, de fils en soie de PTFE, imprégnés à coeur avant et pendant le tressage de polytétrafluoréthylène (PTFE) et de lubrifiants inertes.
Les fils continus en aramide, placés dans les angles, renforcent la tenue mécanique.
L’ajout de graphite expansé au coeur de la tresse confère une souplesse ainsi qu’une reprise élastique remarquable.</t>
  </si>
  <si>
    <t>A.Q. FTP 350 rév. 2</t>
  </si>
  <si>
    <t>A.Q. FTP 351 rév. 2</t>
  </si>
  <si>
    <t>4788G</t>
  </si>
  <si>
    <t>LATTY®core 4788 G</t>
  </si>
  <si>
    <t>Tresse réalisée à partir de fils et de filés de fibres aramide, imprégnés à coeur avant et pendant le tressage de polytétrafluoréthylène (PTFE) et de lubrifiants inertes.
L’ajout de graphite expansé au coeur de la tresse confère une souplesse ainsi qu’une reprise élastique remarquable.</t>
  </si>
  <si>
    <t>Bonne tenue sur fluides abrasifs. Bonne tenue sur eau surchauffée (revêtement de chemise souhaitable pour bonne longévité du presse-étoupe).</t>
  </si>
  <si>
    <t>Bonne tenue des bagues, coupe aisée avec matériel adapté.</t>
  </si>
  <si>
    <t>Pour les tresses de fortes sections, l’utilisation d’une lame de scie à métaux aiguisée, montée sur la scie facilite la coupe.</t>
  </si>
  <si>
    <t>3207G</t>
  </si>
  <si>
    <t>5790G</t>
  </si>
  <si>
    <t>LATTY®core 5790 G</t>
  </si>
  <si>
    <t>Tresse dense réalisée à partir de fils méta-aramide blancs, texturisés, imprégnés de dispersion de PTFE.
L’ajout de graphite expansé au coeur de la tresse confère une souplesse ainsi qu’une reprise élastique remarquable.</t>
  </si>
  <si>
    <t>A.Q. FTP 352 rév. 1</t>
  </si>
  <si>
    <t xml:space="preserve">Bonne tenue à la plupart des solvants organiques, aux acides et aux bases.
</t>
  </si>
  <si>
    <t>Résistante à l’hydrolyse, à l’abrasion.</t>
  </si>
  <si>
    <t>Pour une bonne longévité du couple tresse/chemise, nous conseillons un traitement de surface de la chemise.</t>
  </si>
  <si>
    <t>7189G</t>
  </si>
  <si>
    <t>LATTY®core 7189 G</t>
  </si>
  <si>
    <t>A.Q. FTP 354 rév. 3</t>
  </si>
  <si>
    <t>Dureté chemise conseillée : la longévité d’un presse-étoupe est souvent liée à la dureté chemise (plus la dureté est élevée, meilleur est le comportement du presse-étoupe)</t>
  </si>
  <si>
    <t>Bonne tenue sur fluides chargés.</t>
  </si>
  <si>
    <t>Très bonne élasticité.</t>
  </si>
  <si>
    <t>Bonne tenue, coupe aisée avec matériel adapté.</t>
  </si>
  <si>
    <t>obs_4</t>
  </si>
  <si>
    <t>LATTY®flon 1779</t>
  </si>
  <si>
    <t>A.Q. FTP 049 rév. 1</t>
  </si>
  <si>
    <t>Tresse réalisée à partir de fils de ramie imprégnés avant et pendant le tressage de polytétrafluoréthylène (PTFE) et de lubrifiants inertes.</t>
  </si>
  <si>
    <t>Bonne tenue sur fluides abrasifs</t>
  </si>
  <si>
    <t>Bonne tenue des bagues, coupe aisée</t>
  </si>
  <si>
    <t>LATTY®flon 2710</t>
  </si>
  <si>
    <t>Tresse réalisée à partir de fil polyacrylique, imprégné fil à fil et pendant le tressage d'un mélange de polytétrafluoréthylène.</t>
  </si>
  <si>
    <t>A.Q. FTP 238 rév. 1</t>
  </si>
  <si>
    <t>Produit compact</t>
  </si>
  <si>
    <t>Très bonne élasticité</t>
  </si>
  <si>
    <t>Bonne tenue des joints, coupe aisée</t>
  </si>
  <si>
    <t>2790AL</t>
  </si>
  <si>
    <t>LATTY®flon 2790 AL</t>
  </si>
  <si>
    <t>Tresse réalisée à partir de fils mixtes verre-polyacrylique, imprégnés fil à fil et pendant le tressage d'un mélange de polytétrafluoréthylène et de lubrifiant silicone. Le verre, sous forme de filaments continus, est totalement enrobé par la fibre acrylique.
Utilisation sur eau potable.</t>
  </si>
  <si>
    <t>A.Q. FTP 141 rév. 5</t>
  </si>
  <si>
    <t>Dureté chemise conseillée : la longévité d'un presse-étoupe est souvent liée à la dureté chemise (plus la dureté est élevée, meilleur est le comportement du presse-étoupe).</t>
  </si>
  <si>
    <t>LATTY®flon 2790</t>
  </si>
  <si>
    <t>A.Q. FTP 055 rév. 3</t>
  </si>
  <si>
    <t>Tresse réalisée à partir de fils mixtes verre-polyacrylique, imprégnés fil à fil et pendant le tressage d'un mélange de polytétrafluoréthylène et lubrifiés. Le verre, sous forme de filaments continus, est totalement enrobé par la fibre acrylique.
Tresse exempte de silicone.</t>
  </si>
  <si>
    <t>Bonne tenue sur fluides chargés moyennement agressifs.</t>
  </si>
  <si>
    <t>Très bonne élasticité. Bonne tenue des bagues, coupe aisée.</t>
  </si>
  <si>
    <t>LATTY®flon 3206 CE</t>
  </si>
  <si>
    <t>3206CE</t>
  </si>
  <si>
    <t>Tresse réalisée à partir de fils de soie de polytétrafluoréthylène imprégnés de dispersion de polytétrafluoréthylène et de lubrifiants.
Produit traité pour assurer la compatibilité alimentaire.</t>
  </si>
  <si>
    <t>A.Q. FTP 305 rév. 2</t>
  </si>
  <si>
    <t>Frottement à sec (robinetterie)</t>
  </si>
  <si>
    <t>Valeur moyenne de l’effort au décollement de la tige : 2 daN/cm² de surface frottante et par 100 daN/cm² de pression de serrage (influence importante du lubrifiant)</t>
  </si>
  <si>
    <t>Proscrire l’emploi sur oxygène (utilisation souhaitable LATTYflon 3206 SO)</t>
  </si>
  <si>
    <t>3206AL</t>
  </si>
  <si>
    <t>LATTY®flon 3206 AL</t>
  </si>
  <si>
    <t>A.Q. FTP 115 rév. 3</t>
  </si>
  <si>
    <t>Dilatation importante, fluage possible en fonction du serrage</t>
  </si>
  <si>
    <t>Proscrire l’emploi sur oxygène (utilisation souhaitable LATTY®flon 3206 SO)</t>
  </si>
  <si>
    <t>Bonne tenue des bagues, coupe aisée avec matériel adapté</t>
  </si>
  <si>
    <t>obs_5</t>
  </si>
  <si>
    <t>LATTY®flon 3206</t>
  </si>
  <si>
    <t>Tresse réalisée à partir de fils de soie de polytétrafluoréthylène imprégnés de dispersion de polytétrafluoréthylène et de lubrifiants chimiquement inertes.</t>
  </si>
  <si>
    <t>A.Q. FTP 050 rév. 2</t>
  </si>
  <si>
    <t>3206S</t>
  </si>
  <si>
    <t>A.Q. FTP 051 rév. 3</t>
  </si>
  <si>
    <t>LATTY®flon 3206 S</t>
  </si>
  <si>
    <t>Tresse réalisée à partir de fils de soie de polytétrafluoréthylène imprégnés de dispersion de polytétrafluoréthylène.</t>
  </si>
  <si>
    <t>3206SO</t>
  </si>
  <si>
    <t>LATTY®flon 3206 SO</t>
  </si>
  <si>
    <t>Tresse réalisée à partir de fils de soie de polytétrafluoréthylène imprégnés de dispersion de polytétrafluoréthylène et traités pour assurer une parfaite compatibilité oxygène.
Tresse de qualité alimentaire.</t>
  </si>
  <si>
    <t>A.Q. FTP 114 rév. 7</t>
  </si>
  <si>
    <t>22006082-E</t>
  </si>
  <si>
    <t>LATTY®flon 3207</t>
  </si>
  <si>
    <t>A.Q. FTP 156 rév. 2</t>
  </si>
  <si>
    <t>Tresse réalisée à partir de fils de polytétrafluoréthylène, imprégnés de graphite à coeur et de lubrifiants inertes à base silicone</t>
  </si>
  <si>
    <t>3260LM</t>
  </si>
  <si>
    <t>LATTY®flon 3260 LM</t>
  </si>
  <si>
    <t>A.Q. FTP 001 rév. 4</t>
  </si>
  <si>
    <t>II-1147/2010 E</t>
  </si>
  <si>
    <t>17-0042</t>
  </si>
  <si>
    <t>3265FR</t>
  </si>
  <si>
    <t>LATTY®flon 3265 FR</t>
  </si>
  <si>
    <t>A.Q. FTP 292 rév. 3</t>
  </si>
  <si>
    <t>Ame : fils de carbone continu imprégnés de polytétrafluoréthylène et tressés
Gainage : fils en soie de PTFE imprégnés de dispersion de PTFE et lubrifiés
Cette tresse contient un inhibiteur de corrosion</t>
  </si>
  <si>
    <t>Avec tresse anti-extrusion du type LATTYgraf 8940BS, LATTYgraf 8945BS (sur vannes réglantes)</t>
  </si>
  <si>
    <t>Avec tresse anti-extrusion du type LATTYgraf 6940, 69--, LATTYgraf 6118 (sur vannes réglantes)</t>
  </si>
  <si>
    <t>17-0363</t>
  </si>
  <si>
    <t>Associée à notre qualité LATTYgraf 8945 BS, la qualité LATTYflon 3265 FR est qualifiée aux conditions normales et accidentelles nucléaires avec une tenue en irradiation à 4 MGy. Le rapport D305916016298 émis par EDF confirme cette qualification.
Cette association est conçue pour réduire au minimum les efforts de frottement avec la tige, est destinée à équiper les presse-garnitures des robinets de sectionnement et réglants. La qualification est acquise pour une pression maximale de 185 bar et 250°C en eau au niveau du presse garniture et jusqu’à 4 MGy d’irradiation avec un dispositif "Live loading".</t>
  </si>
  <si>
    <t>3265LM</t>
  </si>
  <si>
    <t>LATTY®flon 3265 LM</t>
  </si>
  <si>
    <t>Ame : fils de carbone continu imprégnés de polytétrafluoréthylène et tressés
Gainage : fils en soie de PTFE imprégnés de dispersion de PTFE
Cette tresse contient un inhibiteur de corrosion</t>
  </si>
  <si>
    <t>A.Q. FTP 293 rév. 7</t>
  </si>
  <si>
    <t>Avec tresse anti-extrusion du type LATTYgraf 6940EF, 6995NG, LATTYgraf 6118 (sur vannes réglantes)</t>
  </si>
  <si>
    <t>21020513-E</t>
  </si>
  <si>
    <t>LATTY®flon 4308</t>
  </si>
  <si>
    <t>Tresse réalisée à partir de fils de polytétrafluoréthylène graphités à coeur et de lubrifiants inertes.</t>
  </si>
  <si>
    <t>A.Q. FTP 046 rév. 2</t>
  </si>
  <si>
    <t>Pour éviter les risques de fluage dans certaines applications - pression élevée, jeux importants, risque d’abrasion - prévoir un montage avec des tresses anti-extrusion (LATTYflon 3206 S, LATTYflon 4757, etc ...)</t>
  </si>
  <si>
    <t>LATTY®flon 4488</t>
  </si>
  <si>
    <t>Tresse réalisée à partir de fils mixtes aramide-carbone, imprégnés fil à fil et en masse de polytétrafluoréthylène (PTFE) et de lubrifiants inertes.</t>
  </si>
  <si>
    <t>A.Q. FTP 015 rév. 2</t>
  </si>
  <si>
    <t>Bonne tenue sur fluides abrasifs. Bon comportement sur chemises usagées.</t>
  </si>
  <si>
    <t>Pour les tresses de fortes sections, l’utilisation d’une lame de scie à métaux aiguisée montée sur la scie facilite la coupe.</t>
  </si>
  <si>
    <t>LATTY®flon 4757</t>
  </si>
  <si>
    <t>Tresse réalisée à partir de fils aramide, de filés de fibres polyacrylonitriles oxydés, de fils de PTFE graphités à coeur, imprégnés avant et pendant le tressage de polytétrafluoréthylène (PTFE) et de lubrifiants inertes. Les fils continus en aramide, placés dans les angles, renforcent la tenue mécanique.</t>
  </si>
  <si>
    <t>A.Q. FTP 002 rév. 3</t>
  </si>
  <si>
    <t>Bonne tenue sur fluides abrasifs. Bien adaptée au presse-étoupe fortement sollicité.</t>
  </si>
  <si>
    <t>T &lt; 100 °C - 25 bar</t>
  </si>
  <si>
    <t>100 &lt; T &lt; 200 °C - 20 bar</t>
  </si>
  <si>
    <t>T &lt; 60 °C - 20 bar</t>
  </si>
  <si>
    <t>60 &lt; T &lt; 100 °C - 15 bar</t>
  </si>
  <si>
    <t>Frottement à sec (robinetterie).</t>
  </si>
  <si>
    <t>LATTY®flon 4788</t>
  </si>
  <si>
    <t>Tresse réalisée à partir de fils et de filés de fibres aramide, imprégnés à coeur avant et pendant le tressage de polytétrafluoréthylène (PTFE) et de lubrifiants inertes.</t>
  </si>
  <si>
    <t>A.Q. FTP 024 rév. 4</t>
  </si>
  <si>
    <t>17-0044</t>
  </si>
  <si>
    <t>Bonne tenue sur eau surchauffée (revêtement de chemise souhaitable pour bonne longévité du presse-étoupe).</t>
  </si>
  <si>
    <t>LATTY®flon 4789</t>
  </si>
  <si>
    <t>Tresse réalisée à partir de fils mixtes aramide-fibranne, imprégnés fil à fil et en masse de polytétrafluoréthylène et lubrifiés.</t>
  </si>
  <si>
    <t>A.Q. FTP 023 rév. 5</t>
  </si>
  <si>
    <t>17-0045</t>
  </si>
  <si>
    <t>Bon comportement sur les chemises usagées.</t>
  </si>
  <si>
    <t>Bonne tenue des bagues, coupe aisée.</t>
  </si>
  <si>
    <t>LATTY®flon 5706</t>
  </si>
  <si>
    <t>Tresse dense réalisée à partir de fils méta-aramide blancs imprégnés à coeur avant le tressage de polytétrafluoroéthylène (PTFE) et de fils de soie PTFE. 
Le tout est imprégné à coeur pendant le tressage d’une dispersion de PTFE. 
Les fils méta-aramide, placés dans les angles, renforcent la tenue mécanique.</t>
  </si>
  <si>
    <t>A.Q. FTP 371 rév. 1</t>
  </si>
  <si>
    <t>Bonne tenue à la plupart des solvants organiques, aux acides et aux bases.</t>
  </si>
  <si>
    <t>LATTY®flon 5790</t>
  </si>
  <si>
    <t>Tresse dense réalisée à partir de fils méta-aramide blancs, texturisés, tressés autour de fils de fibres longues qui forment une véritable réserve de lubrifiant.
Un lubrifiant spécifique « sans silicone » possédant d’excellentes propriétés de glissement est incorporé. Ce lubrifiant améliore la résistance à l’abrasion et limite l’usure des arbres ou chemises des machines.</t>
  </si>
  <si>
    <t>A.Q. FTP 266 rév. 3</t>
  </si>
  <si>
    <t>5790S</t>
  </si>
  <si>
    <t>LATTY®flon 5790S</t>
  </si>
  <si>
    <t>Tresse dense réalisée à partir de fils méta-aramide blancs, texturisés, imprégnés de dispersion de PTFE.</t>
  </si>
  <si>
    <t>A.Q. FTP 306 rév. 1</t>
  </si>
  <si>
    <t>LATTY®flon 7188</t>
  </si>
  <si>
    <t>Tresse réalisée à partir de fils mixtes verre-fibres organiques thermodurcissables, imprégnés fil à fil et en masse de polytétrafluoréthylène et lubrifiés.
Le verre sous forme de filaments continus est totalement enrobé par la fibre organique.
Cette fibre possède les propriétés chimiques et thermiques caractéristiques des résines phénoliques à taux élevé de carbone.</t>
  </si>
  <si>
    <t>A.Q. FTP 003 rév. 4</t>
  </si>
  <si>
    <t>17-0040</t>
  </si>
  <si>
    <t>LATTY®graf 6118</t>
  </si>
  <si>
    <t>Tresse réalisée à partir de fils composite graphite et de fils mixtes filés de fibre de carbone haute résistance et fibre d'Inconel en mélange intime, imprégnés et enduits d'un mélange à base de graphite contenant une anode consommable et un inhibiteur pour la protection contre la corrosion.</t>
  </si>
  <si>
    <t>A.Q. FTP 089 rév. 1</t>
  </si>
  <si>
    <t>Coupe aisée, matriçage possible avant montage.</t>
  </si>
  <si>
    <t>Montage possible avec graphite expansé.</t>
  </si>
  <si>
    <t>6745NG</t>
  </si>
  <si>
    <t>LATTY®graf 6745 NG</t>
  </si>
  <si>
    <t>Tresse réalisée à partir de fils de carbone, imprégnés d’un mélange à base de graphite et PTFE.
La tresse contient un inhibiteur de corrosion.</t>
  </si>
  <si>
    <t>A.Q. FTP 291 rév. 3</t>
  </si>
  <si>
    <t>Très bon comportement sur les pompes et vannes.</t>
  </si>
  <si>
    <t>Coupe : délicate avec le carbone - pour des montages rotatifs, un très léger enrubannage au droit de la coupe est un plus qui facilite l’installation des anneaux.</t>
  </si>
  <si>
    <t>6940EF</t>
  </si>
  <si>
    <t>LATTY®graf 6940 EF</t>
  </si>
  <si>
    <t>A.Q. FTP 233 rév. 7</t>
  </si>
  <si>
    <t>Ame : fils de carbone imprégnés de polytétrafluoréthylène et tressés. Gainage : fils en soie de PTFE imprégnés de dispersion de PTFE et lubrifiés</t>
  </si>
  <si>
    <t>Pour éviter les risques de fluage dans certaines applications (pression élevée, jeux importants, risque d’abrasion) prévoir un montage avec des tresses anti-extrusion (LATTYflon 3206 S, LATTYflon 4757, etc ...).</t>
  </si>
  <si>
    <t>PTFE</t>
  </si>
  <si>
    <t>Aramide</t>
  </si>
  <si>
    <t>Synthétique</t>
  </si>
  <si>
    <t>Graphite</t>
  </si>
  <si>
    <t>concent_Soufre total_approx_ppm</t>
  </si>
  <si>
    <t>caract_Coefficient de frottement_min_adim</t>
  </si>
  <si>
    <t>caract_Coefficient de frottement_max_adim</t>
  </si>
  <si>
    <t>caract_Coefficient de transmission radiale_min_adim</t>
  </si>
  <si>
    <t>caract_Coefficient de transmission radiale_max_adim</t>
  </si>
  <si>
    <t>param_Tenue en température_min_°C</t>
  </si>
  <si>
    <t>param_Tenue en température_max_°C</t>
  </si>
  <si>
    <t>Tenue en température &lt; 450 °C si milieu oxydant</t>
  </si>
  <si>
    <t>param_Tenue en pression_max_bar</t>
  </si>
  <si>
    <t>param_Tenue chimique (pH)_min_adim</t>
  </si>
  <si>
    <t>param_Tenue chimique (pH)_max_adim</t>
  </si>
  <si>
    <t>param_PV facteur (connu)_min_adim</t>
  </si>
  <si>
    <t>param_PV facteur (connu)_max_adim</t>
  </si>
  <si>
    <t>param_PT facteur (connu)_min_adim</t>
  </si>
  <si>
    <t>param_PT facteur (connu)_max_adim</t>
  </si>
  <si>
    <t>obs_6</t>
  </si>
  <si>
    <t>concent_Chlore extractible_max_ppm</t>
  </si>
  <si>
    <t>concent_Chlore total_max_ppm</t>
  </si>
  <si>
    <t>concent_Soufre total_max_ppm</t>
  </si>
  <si>
    <t>2-2509/2014 E</t>
  </si>
  <si>
    <t>15032096 II E</t>
  </si>
  <si>
    <t>T &lt; 100 °C - 140 bar</t>
  </si>
  <si>
    <t>100 &lt; T &lt; 150 °C - 100 bar</t>
  </si>
  <si>
    <t>150 &lt; T &lt; 200 °C - 60 bar</t>
  </si>
  <si>
    <t>Tenue en température &lt; 450 °C si milieu oxydant ou liquide</t>
  </si>
  <si>
    <t>Structure compacte adaptée aux fortes sollicitations mécaniques</t>
  </si>
  <si>
    <t>version Ni Cr sur demande</t>
  </si>
  <si>
    <t>homologation_CE 1935/2004</t>
  </si>
  <si>
    <t>homologation_FDA</t>
  </si>
  <si>
    <t>homologation_PMUC</t>
  </si>
  <si>
    <t>homologation_BAM LIQUIDE</t>
  </si>
  <si>
    <t>homologation_BAM GAZ</t>
  </si>
  <si>
    <t>homologation_WRAS</t>
  </si>
  <si>
    <t>homologation_KTW</t>
  </si>
  <si>
    <t>homologation_ACS</t>
  </si>
  <si>
    <t>homologation_DVGW</t>
  </si>
  <si>
    <t>homologation_TÜV/TA Luft</t>
  </si>
  <si>
    <t>homologation_API 622</t>
  </si>
  <si>
    <t>homologation_API 607</t>
  </si>
  <si>
    <t>homologation_API 589</t>
  </si>
  <si>
    <t>x</t>
  </si>
  <si>
    <t>LATTY®graf 6940</t>
  </si>
  <si>
    <t>Tresse réalisée à partir d'un fil de graphite expansé gainé inconel, enduite d'un mélange graphité. La tresse contient des inhibiteurs de corrosion.</t>
  </si>
  <si>
    <t>A.Q. FTP 123 rév. 9</t>
  </si>
  <si>
    <t>concent_Fluor total_max_ppm</t>
  </si>
  <si>
    <t>concent_Soufre extractible_max_ppm</t>
  </si>
  <si>
    <t>2-3242/2012 E</t>
  </si>
  <si>
    <t>Bonne aptitude au matriçage, débourrage aisé avec des moyens classiques</t>
  </si>
  <si>
    <t>T &lt; 60 °C - 100 bar</t>
  </si>
  <si>
    <t>60 &lt; T &lt; 200 °C - 30 bar</t>
  </si>
  <si>
    <t>LATTY®graf 6960 EF</t>
  </si>
  <si>
    <t>Tresse réalisée à partir d'un fil de graphite expansé de qualité industrielle, enduite d'un mélange graphité, dopé avec un agent améliorant le frottement. La tresse contient des inhibiteurs de corrosion.</t>
  </si>
  <si>
    <t>A.Q. FTP 080 rév. 2</t>
  </si>
  <si>
    <t>Bonne aptitude au matriçage.</t>
  </si>
  <si>
    <t>Utilisation de bagues anti-extrusion impératives si les jeux sont importants, inconnus ou non maîtrisés et si le contrôle du serrage est insuffisant.</t>
  </si>
  <si>
    <t>6960EF</t>
  </si>
  <si>
    <t>LATTY®graf 6960</t>
  </si>
  <si>
    <t>Tresse réalisée à partir d'un fil de graphite expansé de qualité industrielle, enduite d'un mélange graphité. Cette tresse contient un inhibiteur de corrosion.</t>
  </si>
  <si>
    <t>A.Q. FTP 199 rév. 2</t>
  </si>
  <si>
    <t>6988EF</t>
  </si>
  <si>
    <t>LATTY®graf 6988 EF</t>
  </si>
  <si>
    <t>Tresse réalisée à partir de fils composite graphite et de fils de carbone haute résistance, imprégnés et enduits d'un mélange à base de graphite contenant un inhibiteur pour la protection contre la corrosion.</t>
  </si>
  <si>
    <t>A.Q. FTP 277 rév. 5</t>
  </si>
  <si>
    <t>Carbone</t>
  </si>
  <si>
    <t>Montage en bagues anti-extrusion tête et fond dans les montages mixtes avec combinaison de bagues graphite expansé.</t>
  </si>
  <si>
    <t>6995NG</t>
  </si>
  <si>
    <t>LATTY®graf 6995 NG</t>
  </si>
  <si>
    <t>Tresse réalisée à partir de fils de graphite expansé gainés Inconel, enduite d'un mélange graphité, dopé avec un agent améliorant le coefficient de frottement. La tresse contient des inhibiteurs de corrosion.</t>
  </si>
  <si>
    <t>A.Q. FTP 289 rév. 8</t>
  </si>
  <si>
    <t>concent_Halogène extractible_max_ppm</t>
  </si>
  <si>
    <t>2-291/2012 I E</t>
  </si>
  <si>
    <t>T &lt; 100 °C - 50 bar</t>
  </si>
  <si>
    <t>100 &lt; T &lt; 225 °C - 30 bar</t>
  </si>
  <si>
    <t>Structure compacte adaptée aux fortes sollicitations mécaniques.</t>
  </si>
  <si>
    <t>Bonne aptitude au matriçage, débourrage aisé avec des moyens classiques.</t>
  </si>
  <si>
    <t>8940BS</t>
  </si>
  <si>
    <t>LATTY®graf 8940 BS</t>
  </si>
  <si>
    <t>Tresse réalisée à partir d'un fil de graphite expansé pur gainé inconel. La tresse contient un inhibiteur de corrosion. Les matériaux utilisés et le procédé de fabrication permettent de garantir des teneurs en halogènes et en soufre très faibles. La structure de tressage destine cette tresse à une utilisation en tête et fond (anti-extrusion).</t>
  </si>
  <si>
    <t>A.Q. FTP 245 rév. 7</t>
  </si>
  <si>
    <t>concent_Halogène total_max_ppm</t>
  </si>
  <si>
    <t>concent_Fluor extractible_max_ppm</t>
  </si>
  <si>
    <t>17-0287</t>
  </si>
  <si>
    <t>Coupe aisée, mise en place facile.</t>
  </si>
  <si>
    <t>Utilisation comme anti-extrusion avec les produits en graphite expansé et la LATTYflon 3265 FR (dérogée PMUC).</t>
  </si>
  <si>
    <t>8945BS</t>
  </si>
  <si>
    <t>LATTY®graf 8945 BS</t>
  </si>
  <si>
    <t>Tresse réalisée à partir d'un fil de graphite expansé pur gainé inconel enduite d’un mélange graphité dopé avec un agent améliorant le frottement. La tresse contient un inhibiteur de corrosion. Les matériaux utilisés et le procédé de fabrication permettent de garantir des teneurs en soufre très faibles. La structure de tressage destine cette tresse à une utilisation en tête et fond (anti-extrusion).</t>
  </si>
  <si>
    <t>A.Q. FTP 294 rév. 6</t>
  </si>
  <si>
    <t>17-0364</t>
  </si>
  <si>
    <t>Associée à notre qualité LATTYgraf 9110 ou LATTYflon 3265 FR en tant que bague d’anti-extrusion, la qualité LATTYgraf 8945 BS est qualifiée aux conditions normales et accidentelles nucléaires avec une tenue en irradiation à 4 MGy. Les rapports N° D305916016293 et D305916016298 émis par EDF confirment cette qualification.</t>
  </si>
  <si>
    <t>LATTY®graf 9110</t>
  </si>
  <si>
    <t>Bague</t>
  </si>
  <si>
    <t>Nouvelle génération des bagues en graphite pur à 99,5 %</t>
  </si>
  <si>
    <t>A.Q. FTP 346 rév 4</t>
  </si>
  <si>
    <t>17-0391</t>
  </si>
  <si>
    <t>Associée à notre qualité LATTYgraf 8945 BS pour packing intégrale GRAPHITE, la qualité LATTYgraf 9110 est qualifiée aux conditions normales et accidentelles nucléaires. Le rapport N° D305916016293 émis par EDF confirme cette qualification. Cette garniture est conçue pour réduire au minimum les efforts de frottement avec la tige, est destinée à équiper les presse-garnitures des robinets de sectionnement. La qualification est acquise pour une pression maximale de 200 bar et 300°C en eau au niveau du presse garniture et jusqu’à 4 MGy d’irradiation avec un dispositif "Live loading".</t>
  </si>
  <si>
    <t>O2</t>
  </si>
  <si>
    <t>LATTY®graf O2</t>
  </si>
  <si>
    <t>Tresse réalisée à partir de fils de graphite expansé gainés Inconel, spécifiquement développée pour les applications haute température et haute pression au contact de l’oxygène.
La tresse contient un inhibiteur de corrosion.</t>
  </si>
  <si>
    <t>A.Q. FTP 381 rév.0</t>
  </si>
  <si>
    <t>T</t>
  </si>
  <si>
    <t>LATTY®graf T</t>
  </si>
  <si>
    <t>Tresse réalisée à partir de fils de graphite, enduits d'un mélange à base de graphite.</t>
  </si>
  <si>
    <t>A.Q. FTP 043 rév. 2</t>
  </si>
  <si>
    <t>param_Dureté chemise conseille_min_Vickers</t>
  </si>
  <si>
    <t>Coupe : délicate avec le graphite - pour des montages rotatifs, un léger enrubannage au droit de la coupe est un plus qui facilite l’installation des anneaux.</t>
  </si>
  <si>
    <t>2-315/2015</t>
  </si>
  <si>
    <t>T &lt; 60 °C - 430 bar</t>
  </si>
  <si>
    <t>60 &lt; T &lt; 250 °C - 260 bar</t>
  </si>
  <si>
    <t>Tresse anti-extrusion spécialement développée pour une tenue à haute température et haute pression au contact de l’oxygène gazeux et/ou liquide.</t>
  </si>
  <si>
    <t>TSP</t>
  </si>
  <si>
    <t>LATTY®graf TSP</t>
  </si>
  <si>
    <t>Tresse réalisée à partir de fils de carbone imprégnés graphite et PTFE.</t>
  </si>
  <si>
    <t>A.Q. FTP 057 rév. 2</t>
  </si>
  <si>
    <t>Tresse réalisée à partir d'un fil de graphite expansé gainé inconel, enduite d'un mélange graphité, dopé avec un agent améliorant le frottement. La tresse contient des inhibiteurs de corrosion.</t>
  </si>
  <si>
    <t>A.Q. FTP 307 rév. 8</t>
  </si>
  <si>
    <t>LATTY®ring 614</t>
  </si>
  <si>
    <t>Gaine tressée à partir de fils de coton imprégnés de polytétrafluoréthylène (PTFE).</t>
  </si>
  <si>
    <t>A.Q. FTP 106 rév. 4</t>
  </si>
  <si>
    <t>LATTY®tex 2761</t>
  </si>
  <si>
    <t>Tresse réalisée à partir de fils mixtes verre-polyacrylique, imprégnés fil à fil et pendant le tressage d'un mélange de lubrifiants graphités. Le verre, sous forme de filaments continus, est totalement enrobé. Tresse exempte de silicone.</t>
  </si>
  <si>
    <t>A.Q. FTP 038 rév. 3</t>
  </si>
  <si>
    <t>Bonne tenue sur fluides moyennement agressifs.</t>
  </si>
  <si>
    <t>LATTY®tex 4777</t>
  </si>
  <si>
    <t>Tresse réalisée à partir de fils mixtes aramide-fibranne et de fils mixtes verre-polyacrylique. Les fils ont été imprégnés individuellement à coeur de polytétrafluoréthylène, puis imprégnés en masse au tressage par un mélange de lubrifiants paraffiniques et d'agents solides de lubrification. Les fils base aramide sont placés dans les angles et renforcent la tenue mécanique.</t>
  </si>
  <si>
    <t>A.Q. FTP 142 rév. 3</t>
  </si>
  <si>
    <t>Coupe aisée. Tresse à montage facile et rodage immédiat.</t>
  </si>
  <si>
    <t>2013-01</t>
  </si>
  <si>
    <t>Tresse réalisée à partir de fils mixtes verre-fibres organiques thermodurcissables, imprégnés de PTFE fil à fil, de fils mixtes verre-polyacrylique, imprégnés de PTFE fil à fil et de graphite expansé au coeur de la tresse. L’ensemble est imprégné pendant le tressage d’un mélange à base de PTFE, de lubrifiants spécifiques et enfin traité par une huile minérale blanche. Les fils mixtes verre-fibres organiques sont placés dans les angles et renforcent la tenue mécanique, chimique et thermique de la tresse. L’ajout de graphite expansé au coeur de la tresse confère une souplesse ainsi qu’une reprise élastique remarquable.</t>
  </si>
  <si>
    <t>comp_Fil aramide_min_%</t>
  </si>
  <si>
    <t>comp_Fil aramide_max_%</t>
  </si>
  <si>
    <t>comp_Fil meta-aramide_min_%</t>
  </si>
  <si>
    <t>comp_Fil meta-aramide_max_%</t>
  </si>
  <si>
    <t>comp_Fil PTFE_min_%</t>
  </si>
  <si>
    <t>comp_Fil PTFE_max_%</t>
  </si>
  <si>
    <t>comp_Fil carbone_min_%</t>
  </si>
  <si>
    <t>comp_Fil carbone_max_%</t>
  </si>
  <si>
    <t>comp_Fil verre polyacrilique_min_%</t>
  </si>
  <si>
    <t>comp_Fil verre polyacrilique_max_%</t>
  </si>
  <si>
    <t>comp_Fil polyacrilique_min_%</t>
  </si>
  <si>
    <t>comp_Fil polyacrilique_max_%</t>
  </si>
  <si>
    <t>comp_Fil polyacrylonitrile oxydé_min_%</t>
  </si>
  <si>
    <t>comp_Fil polyacrylonitrile oxydé_max_%</t>
  </si>
  <si>
    <t>comp_Fil coton_min_%</t>
  </si>
  <si>
    <t>comp_Fil coton_max_%</t>
  </si>
  <si>
    <t>comp_Fil ramie_min_%</t>
  </si>
  <si>
    <t>comp_Fil ramie_max_%</t>
  </si>
  <si>
    <t>comp_Fil graphite_min_%</t>
  </si>
  <si>
    <t>comp_Fil graphite_max_%</t>
  </si>
  <si>
    <t>comp_Graphite expansé_min_%</t>
  </si>
  <si>
    <t>comp_Graphite expansé_max_%</t>
  </si>
  <si>
    <t>comp_Imprégnation PTFE_min_%</t>
  </si>
  <si>
    <t>comp_Imprégnation PTFE_max_%</t>
  </si>
  <si>
    <t>comp_Imprégnation graphite_min_%</t>
  </si>
  <si>
    <t>comp_Imprégnation graphite_max_%</t>
  </si>
  <si>
    <t>comp_Lubrifiants paraffiniques_min_%</t>
  </si>
  <si>
    <t>comp_Lubrifiants paraffiniques_max_%</t>
  </si>
  <si>
    <t>comp_Lubrifiant silicone_min_%</t>
  </si>
  <si>
    <t>comp_Lubrifiant silicone_max_%</t>
  </si>
  <si>
    <t>comp_Lubrifiant solide_min_%</t>
  </si>
  <si>
    <t>comp_Lubrifiant solide_max_%</t>
  </si>
  <si>
    <t>comp_Lubrifiant inerte_min_%</t>
  </si>
  <si>
    <t>comp_Lubrifiant inerte_max_%</t>
  </si>
  <si>
    <t>comp_Inhibiteur de corrosion_min_%</t>
  </si>
  <si>
    <t>comp_Inhibiteur de corrosion_max_%</t>
  </si>
  <si>
    <t>comp_Fil fibranne_min_%</t>
  </si>
  <si>
    <t>comp_Fil fibranne_max_%</t>
  </si>
  <si>
    <t>comp_Fil Inconel_min_%</t>
  </si>
  <si>
    <t>comp_Fil Inconel_max_%</t>
  </si>
  <si>
    <t>comp_Fil composite phénolique_min_%</t>
  </si>
  <si>
    <t>comp_Fil composite phénolique_max_%</t>
  </si>
  <si>
    <t>comp_Lubrifiant huile minérale blanche_min_%</t>
  </si>
  <si>
    <t>comp_Lubrifiant huile minérale blanche_max_%</t>
  </si>
  <si>
    <t>comp_Pureté graphite_min_%</t>
  </si>
  <si>
    <t>ref_PMUC</t>
  </si>
  <si>
    <t>ref_BAM LIQUIDE</t>
  </si>
  <si>
    <t>ref_BAM GAZ</t>
  </si>
  <si>
    <t>H2000G</t>
  </si>
  <si>
    <t>Minérale</t>
  </si>
  <si>
    <t>Végétale</t>
  </si>
  <si>
    <t>Gaine souple tressée, en fils de fibre de verre traitée haute température armée de filament en alliage nickel-chrome, autour d'une mèche composite de fibre de verre cardé haute température et d'une fibre naturelle.</t>
  </si>
  <si>
    <t>A.Q. FTP 243 rév. 1</t>
  </si>
  <si>
    <t>comp_Fil verre haute température renforcé_min_%</t>
  </si>
  <si>
    <t>comp_Fil verre haute température renforcé_max_%</t>
  </si>
  <si>
    <t>Produit sensible à l'hydrolyse, aux bases fortes et acides forts</t>
  </si>
  <si>
    <t>H2000T</t>
  </si>
  <si>
    <t>Tresse réalisée à partir de filés de fibre verre traitée haute température, armés d'un alliage Nickel-chrome. Une imprégnation à base de mica assure la cohésion des fils et fibres.</t>
  </si>
  <si>
    <t>A.Q. FTP 228 rév. 2</t>
  </si>
  <si>
    <t>comp_Mica_min_%</t>
  </si>
  <si>
    <t>comp_Mica_max_%</t>
  </si>
  <si>
    <t>Utilisation en étanchéité de vannes à vent chaud sur porte de four, chaudières, brûleurs ...</t>
  </si>
  <si>
    <t>Protection et isolation thermique de tuyaux.</t>
  </si>
  <si>
    <t>Isolations diverses.</t>
  </si>
  <si>
    <t>Tenue en pression de 100 bar à froid. Pression usuelle d'utilisation &lt; 10 bar.</t>
  </si>
  <si>
    <t>LATTY®carb 96</t>
  </si>
  <si>
    <t>Joint</t>
  </si>
  <si>
    <t>Carbone aramide</t>
  </si>
  <si>
    <t>A.Q. FTP 157 rév. 7</t>
  </si>
  <si>
    <t>comp_Agent remplisseur_min_%</t>
  </si>
  <si>
    <t>comp_Agent remplisseur_max_%</t>
  </si>
  <si>
    <t>caract_Densité_norme</t>
  </si>
  <si>
    <t>NF T 48-102</t>
  </si>
  <si>
    <t>NF T 48-103</t>
  </si>
  <si>
    <t>caract_Compressibilité_min_%</t>
  </si>
  <si>
    <t>caract_Compressibilité_max_%</t>
  </si>
  <si>
    <t>ASTM F36J</t>
  </si>
  <si>
    <t>DIN 52913</t>
  </si>
  <si>
    <t>DIN 3535-6</t>
  </si>
  <si>
    <t>caract_Compressibilité après immersion sous eau_min_%</t>
  </si>
  <si>
    <t>caract_Compressibilité après immersion sous eau_max_%</t>
  </si>
  <si>
    <t>caract_Compressibilité après immersion sous eau_norme</t>
  </si>
  <si>
    <t>ASTM F36</t>
  </si>
  <si>
    <t>2-556/2014 E</t>
  </si>
  <si>
    <t>Caractéristiques techniques correspondantes à un joint d'épaisseur 2 mm</t>
  </si>
  <si>
    <t>Joint à base de fibres carbone et artificielles sélectionnées, liées avec un mélange d'élastomères synthétiques NBR et comprimées en feuilles avec anti-adhérent double face.</t>
  </si>
  <si>
    <t>LATTY®carb 96 G2F</t>
  </si>
  <si>
    <t>Joint à base de fibres carbone et artificielles sélectionnées, liées avec un mélange d'élastomères synthétiques NBR et comprimées en feuilles graphité deux faces pour une efficacité optimale d'anti-adhérence sous contrainte</t>
  </si>
  <si>
    <t>LATTY®carb 965</t>
  </si>
  <si>
    <t>Joint à base de fibres carbone et artificielles sélectionnées, liées avec un mélange d'élastomères synthétiques et renforcé d'une armature en fils d'acier et comprimées en feuilles.</t>
  </si>
  <si>
    <t>A.Q. FTP 161 rév. 4</t>
  </si>
  <si>
    <t>comp_Fibres carbone/aramide_min_%</t>
  </si>
  <si>
    <t>comp_Fibres carbone/aramide_max_%</t>
  </si>
  <si>
    <t>74L</t>
  </si>
  <si>
    <t>LATTY® HEPHAISTOS 2000 G</t>
  </si>
  <si>
    <t>LATTY® HEPHAISTOS 2000 T</t>
  </si>
  <si>
    <t>LATTY®flon 74 L</t>
  </si>
  <si>
    <t>Nouvelle génération de matériaux d'étanchéité en PTFE renforcé par microstructure à base de PTFE vierge contenant des microsphères de verre creuses.</t>
  </si>
  <si>
    <t>A.Q. FTP 340 rév. 1</t>
  </si>
  <si>
    <t>ASTM D792</t>
  </si>
  <si>
    <t>caract_Résistance à la traction_norme</t>
  </si>
  <si>
    <t>ASTM D4745</t>
  </si>
  <si>
    <t>caract_Elongation_min_%</t>
  </si>
  <si>
    <t>caract_Elongation_max_%</t>
  </si>
  <si>
    <t>caract_Elongation_norme</t>
  </si>
  <si>
    <t>caract_Résistance à la traction_min_MPa</t>
  </si>
  <si>
    <t>caract_Résistance à la traction_max_MPa</t>
  </si>
  <si>
    <t>caract_Dureté_norme</t>
  </si>
  <si>
    <t>caract_Dureté_min_Shore D</t>
  </si>
  <si>
    <t>caract_Dureté_max_Shore D</t>
  </si>
  <si>
    <t>ASTM D2240</t>
  </si>
  <si>
    <t>caract_Compressibilité_norme</t>
  </si>
  <si>
    <t>caract_Reprise élastique_min_%</t>
  </si>
  <si>
    <t>caract_Reprise élastique_max_%</t>
  </si>
  <si>
    <t>caract_Reprise élastique_norme</t>
  </si>
  <si>
    <t>ASTM 0177</t>
  </si>
  <si>
    <t>caract_Dilatation thermique_norme</t>
  </si>
  <si>
    <t>ASTM D696</t>
  </si>
  <si>
    <t>Couleur bleue</t>
  </si>
  <si>
    <t>Facile à retirer</t>
  </si>
  <si>
    <t>Ne colle pas à la surface de la bride</t>
  </si>
  <si>
    <t>Excellente stabilité chimique</t>
  </si>
  <si>
    <t>Très étanche, déjà à faible contrainte de joint</t>
  </si>
  <si>
    <t>84L</t>
  </si>
  <si>
    <t>LATTY®flon 84 L</t>
  </si>
  <si>
    <t>Joint à base de PTFE modifié chargé.</t>
  </si>
  <si>
    <t>A.Q. FTP 316 rév. 4</t>
  </si>
  <si>
    <t>DIN 28090-2</t>
  </si>
  <si>
    <t>DIN 3535</t>
  </si>
  <si>
    <t>caract_Résistance au fluage 150°C, 30 MPa_min_MPa</t>
  </si>
  <si>
    <t>caract_Résistance au fluage 150°C, 30 MPa_max_MPa</t>
  </si>
  <si>
    <t>caract_Résistance au fluage 150°C, 30 MPa_norme</t>
  </si>
  <si>
    <t>caract_Résistance au fluage 175°C, 50 MPa_min_MPa</t>
  </si>
  <si>
    <t>caract_Résistance au fluage 175°C, 50 MPa_max_MPa</t>
  </si>
  <si>
    <t>caract_Résistance au fluage 175°C, 50 MPa_norme</t>
  </si>
  <si>
    <t>2-2543/2011E</t>
  </si>
  <si>
    <t>T &lt; 200 °C - 25 bar</t>
  </si>
  <si>
    <t>94L</t>
  </si>
  <si>
    <t>LATTY®flon 94 L</t>
  </si>
  <si>
    <t>A.Q. FTP 112 rév. 12</t>
  </si>
  <si>
    <t>DIN 28090</t>
  </si>
  <si>
    <t>ASTM F 104 - A</t>
  </si>
  <si>
    <t>EN14772</t>
  </si>
  <si>
    <t>homologation_AIR LIQUIDE</t>
  </si>
  <si>
    <t>2-1800/2012 II E</t>
  </si>
  <si>
    <t>N° 17-0188</t>
  </si>
  <si>
    <t>T &lt; 60 °C - 25 bar</t>
  </si>
  <si>
    <t>LATTY®flon 95</t>
  </si>
  <si>
    <t>Joint constitué à 100 % de polytétrafluoréthylène (PTFE) expansé assurant une microstructure fibreuse multidirectionnelle qui permet l'obtention d'obtention d'un produit souple et malléable ayant une très bonne résistance au fluage et à la relaxation.</t>
  </si>
  <si>
    <t>A.Q. FTP 205 rév. 3</t>
  </si>
  <si>
    <t>comp_Feuille PTFE avec charge inorganique_min_%</t>
  </si>
  <si>
    <t>comp_Feuille PTFE avec charge inorganique_max_%</t>
  </si>
  <si>
    <t>param_Contrainte maximale de serrage à 24 °C_min_MPa</t>
  </si>
  <si>
    <t>param_Contrainte maximale de serrage à 24 °C_max_MPa</t>
  </si>
  <si>
    <t>Caractéristiques techniques correspondantes à un joint d'épaisseur 1,5 mm</t>
  </si>
  <si>
    <t>Ne pas utiliser en présence de métaux alcalins en fusion, du fluor et gaz fluorés</t>
  </si>
  <si>
    <t>LATTY®flon 97</t>
  </si>
  <si>
    <t>Joint moulé de polytétrafluoréthylène armé d'une tôle perforée en acier inoxydable. Un bourrelet de polytétrafluoréthylène sur la portée fonctionnelle permet l’obtention d’excellentes caractéristiques en étanchéité.</t>
  </si>
  <si>
    <t>A.Q. FTP 192 rév. 4</t>
  </si>
  <si>
    <t>ASTM D 1457</t>
  </si>
  <si>
    <t>Ne pas utiliser en présence de métaux alcalins en fusion.</t>
  </si>
  <si>
    <t>UNISEAL</t>
  </si>
  <si>
    <t>LATTY®flon UNISEAL</t>
  </si>
  <si>
    <t>comp_PTFE Expansé_min_%</t>
  </si>
  <si>
    <t>comp_PTFE Expansé_max_%</t>
  </si>
  <si>
    <t>Joint  réalisé en polytétrafluoréthylène vierge expansé. Le procédé de fabrication confère au matériau une micro structure fibreuse multidirectionnelle qui permet des propriétés optimales en étanchéité (souplesse / adaptation / degré d'étanchéité). Pour favoriser la fixation du joint sous forme de ruban, l'une des faces est adhésivée.</t>
  </si>
  <si>
    <t>A.Q. FTP 131 rév. 5</t>
  </si>
  <si>
    <t>2-2172/2014 I E</t>
  </si>
  <si>
    <t>Physiologiquement inoffensif dans le domaine d'application recommandé</t>
  </si>
  <si>
    <t>MULTISEAL</t>
  </si>
  <si>
    <t>LATTY®flon MULTISEAL</t>
  </si>
  <si>
    <t>Joint réalisé en polytétrafluoréthylène vierge expansé. Sa struture microfibreuse lui permet des propriétés optimales en étanchéité (souplesse / adaptation / degré d'étanchéité). Pour favoriser la fixation du joint sous forme de ruban, l'une des faces est adhésivée.</t>
  </si>
  <si>
    <t>A.Q. FTP 358 rév. 1</t>
  </si>
  <si>
    <t>Si application à court terme: -268 &lt; T &lt; 270 °C</t>
  </si>
  <si>
    <t>Non adapté aux métaux alcalins fondus fluor élémentaire</t>
  </si>
  <si>
    <t>5ACID</t>
  </si>
  <si>
    <t>LATTY®gold 5 ACID</t>
  </si>
  <si>
    <t>Joint constitué de fibres synthétiques enrobées de résines et élastomères résistant à l'action des produits agressifs tels que acides et bases concentrés.</t>
  </si>
  <si>
    <t>A.Q. FTP 158 rev. 3</t>
  </si>
  <si>
    <t>comp_Fibres aramide/verre_min_%</t>
  </si>
  <si>
    <t>comp_Fibres aramide/verre_max_%</t>
  </si>
  <si>
    <t>comp_Agent liant_max_%</t>
  </si>
  <si>
    <t>LATTY®gold 32</t>
  </si>
  <si>
    <t>Joint composé d'un mélange de fibres synthétiques, enrobées d'élastomère type NBR - SBR.</t>
  </si>
  <si>
    <t>A.Q. FTP 067 rév. 3</t>
  </si>
  <si>
    <t>32R</t>
  </si>
  <si>
    <t>LATTY®gold 32 R</t>
  </si>
  <si>
    <t>Feuille à joint composée de fibres cellulose et d’élastomère type NBR.</t>
  </si>
  <si>
    <t>A.Q. FTP 318 rév. 2</t>
  </si>
  <si>
    <t>ASTM F152</t>
  </si>
  <si>
    <t>ASTM F146</t>
  </si>
  <si>
    <t>Tenue en température de 120 °C à vapeur et 140 °C en opération continue</t>
  </si>
  <si>
    <t>Traitement anti-adhérent (graphite, PTFE…) sur demande</t>
  </si>
  <si>
    <t>LATTY®gold 92</t>
  </si>
  <si>
    <t>Joint à base de fibres synthétiques et minérales sélectionnées, liées avec un mélange d'élastomères synthétiques et comprimées en feuilles. Anti-adhérent double face.</t>
  </si>
  <si>
    <t>A.Q. FTP 019 rév. 11</t>
  </si>
  <si>
    <t>caract_Étanchéité aux gaz (1)_norme</t>
  </si>
  <si>
    <t>caract_Étanchéité aux gaz (2)_norme</t>
  </si>
  <si>
    <t>ASTM F 36</t>
  </si>
  <si>
    <t>17-0053</t>
  </si>
  <si>
    <t>2-2339/2013 E</t>
  </si>
  <si>
    <t>T &lt; 70 °C - 100 bar</t>
  </si>
  <si>
    <t>LATTY®gold 92 G2F</t>
  </si>
  <si>
    <t>Joint à base de fibres synthétiques et minérales sélectionnées, liées avec un mélange d'élastomères synthétiques et comprimées en feuilles. Graphité deux faces pour une efficacité optimale d’anti-adhérence sous contrainte.</t>
  </si>
  <si>
    <t>A.Q. FTP 299 rév. 5</t>
  </si>
  <si>
    <t>17-0235</t>
  </si>
  <si>
    <t>LATTY®gold 925</t>
  </si>
  <si>
    <t>Joint graphité deux faces à base de fibres synthétiques et minérales sélectionnées, liées avec un mélange d'élastomères synthétiques et renforcé d'une armature en fils d'acier et comprimées en feuilles.</t>
  </si>
  <si>
    <t>A.Q. FTP 069 rév. 5</t>
  </si>
  <si>
    <t>17-0237</t>
  </si>
  <si>
    <t>92-G2F</t>
  </si>
  <si>
    <t>96-G2F</t>
  </si>
  <si>
    <t>BA-E1-BS</t>
  </si>
  <si>
    <t>LATTY®graf BA E1 BS</t>
  </si>
  <si>
    <t>Bague matricée en graphite expansé, adaptée aux étanchéités corps - chapeau des vannes autoclaves.</t>
  </si>
  <si>
    <t>A.Q. FTP 345 rév. 1</t>
  </si>
  <si>
    <t>Équipée de coupelles anti-extrusion si nécessaire</t>
  </si>
  <si>
    <t>Profils : carré, tronqué, tronconique, …</t>
  </si>
  <si>
    <t>Bague calculée par DN - PN - PS. Bague densifiée selon définition de calcul, adaptation aux DN / PN</t>
  </si>
  <si>
    <t>Diamètre extérieur inférieur à 1000 mm et hauteur hors tout inférieure à 60 mm en standard</t>
  </si>
  <si>
    <t>Nuance des coupelles : inox Z2 CND 17-12, Inconel …</t>
  </si>
  <si>
    <t>comp_Anode_min_%</t>
  </si>
  <si>
    <t>comp_Anode_max_%</t>
  </si>
  <si>
    <t>caract_Résistance à la traction_obs</t>
  </si>
  <si>
    <t>caract_Résistance à la compression_min_MPa</t>
  </si>
  <si>
    <t>caract_Résistance à la compression_max_MPa</t>
  </si>
  <si>
    <t>caract_Résistance à la compression_norme</t>
  </si>
  <si>
    <t>caract_Résistance à la compression_obs</t>
  </si>
  <si>
    <t>caract_Résistivité électrique sens parallèle et perpendiculaire_min_Ohm.cm</t>
  </si>
  <si>
    <t>caract_Résistivité électrique sens parallèle et perpendiculaire_max_Ohm.cm</t>
  </si>
  <si>
    <t>caract_Résistivité électrique sens parallèle et perpendiculaire_norme</t>
  </si>
  <si>
    <t>caract_Résistivité électrique sens parallèle et perpendiculaire_obs</t>
  </si>
  <si>
    <t>caract_Résistivité électrique à travers l'épaisseur_min_Ohm.cm</t>
  </si>
  <si>
    <t>caract_Résistivité électrique à travers l'épaisseur_max_Ohm.cm</t>
  </si>
  <si>
    <t>caract_Résistivité électrique à travers l'épaisseur_norme</t>
  </si>
  <si>
    <t>caract_Résistivité électrique à travers l'épaisseur_obs</t>
  </si>
  <si>
    <t>17-0194</t>
  </si>
  <si>
    <t>caract_Dilatation thermique sens parallèle et perpendiculaire_obs</t>
  </si>
  <si>
    <t>caract_Dilatation thermique à travers l'épaisseur_obs</t>
  </si>
  <si>
    <t>caract_Densité_obs</t>
  </si>
  <si>
    <t>BA-EBS</t>
  </si>
  <si>
    <t>LATTY®graf BA EBS</t>
  </si>
  <si>
    <t>caract_Densité des bagues_obs</t>
  </si>
  <si>
    <t>param_Tenue en température_obs</t>
  </si>
  <si>
    <t>param_Tenue en pression_obs</t>
  </si>
  <si>
    <t>Tenue en pression de 100 bar à froid</t>
  </si>
  <si>
    <t>Pression usuelle d'utilisation &lt; 10 bar</t>
  </si>
  <si>
    <t>17-0186</t>
  </si>
  <si>
    <t>&lt; 450 °C si milieu oxydant</t>
  </si>
  <si>
    <t>E1-BS</t>
  </si>
  <si>
    <t>LATTY®graf E1 BS</t>
  </si>
  <si>
    <t>Bague matricée/ruban expansé haute pureté pour robinetterie industrielle.</t>
  </si>
  <si>
    <t>A.Q. FTP 150 rév. 2</t>
  </si>
  <si>
    <t>E1</t>
  </si>
  <si>
    <t>LATTY®graf E1</t>
  </si>
  <si>
    <t>A.Q. FTP 011 rév. 4</t>
  </si>
  <si>
    <t>E2</t>
  </si>
  <si>
    <t>LATTY®graf E2</t>
  </si>
  <si>
    <t>A.Q. FTP 010 rév. 4</t>
  </si>
  <si>
    <t>Disponibilité d'une version adhésive</t>
  </si>
  <si>
    <t>E2P</t>
  </si>
  <si>
    <t>LATTY®graf E2P</t>
  </si>
  <si>
    <t>A.Q. FTP 013 rév. 9</t>
  </si>
  <si>
    <t>EBS</t>
  </si>
  <si>
    <t>LATTY®graf EBS</t>
  </si>
  <si>
    <t>A.Q. FTP 151 rév. 5</t>
  </si>
  <si>
    <t>17-0106</t>
  </si>
  <si>
    <t>EBST</t>
  </si>
  <si>
    <t>A.Q. FTP 252 rév. 8</t>
  </si>
  <si>
    <t>17-0292</t>
  </si>
  <si>
    <t>EFA</t>
  </si>
  <si>
    <t>EFA-G2F</t>
  </si>
  <si>
    <t>LATTY®graf EFA</t>
  </si>
  <si>
    <t>Graphite expansé (deux faces pour une efficacité optimale d'anti-adhérence sous contrainte) en feuille associé à une tôle en acier inoxydable spécialement adaptée pour favoriser l'accrochage du graphite sans collage. Cet assemblage par agrafage permet au produit fini de conserver les propriétés intrinsèques du graphite souple. Le renfort rend la manipulation très aisée des feuilles et des joints découpés.</t>
  </si>
  <si>
    <t>A.Q. FTP 353 rév. 1</t>
  </si>
  <si>
    <t>Qualité du graphite souple: LATTYgraf E2</t>
  </si>
  <si>
    <t>Tôle acier inoxydable du type ISO 1.4404 (AISI 316L ou AFNOR Z2 CND 17-12) - épaisseur : 0,1mm</t>
  </si>
  <si>
    <t>Tôle perforée : acier inoxydable EN 1.4306 (304 - Z6 CN 18-10)</t>
  </si>
  <si>
    <t>Serrage faible, force de réaction constante (relaxation faible),stabilité lors des chocs thermiques.</t>
  </si>
  <si>
    <t>EFA-BS</t>
  </si>
  <si>
    <t>LATTY®graf EFA G2F</t>
  </si>
  <si>
    <t>LATTY®graf EFA BS</t>
  </si>
  <si>
    <t>Graphite expansé en feuille associé à une tôle en acier inoxydable spécialement adaptée pour favoriser l'accrochage du graphite sans collage. Cet assemblage par agrafage permet au produit fini de conserver les propriétés intrinsèques du graphite souple. Le renfort rend la manipulation très aisée des feuilles et des joints découpés.</t>
  </si>
  <si>
    <t>A.Q. FTP 212 rév. 2</t>
  </si>
  <si>
    <t>Qualité du graphite souple: LATTYgraf EBS</t>
  </si>
  <si>
    <t>17-0267</t>
  </si>
  <si>
    <t>A.Q. FTP 086 rév. 8</t>
  </si>
  <si>
    <t>param_Contrainte maximale de serrage à 24 °C_obs</t>
  </si>
  <si>
    <t xml:space="preserve">130 MPa à 400 °C </t>
  </si>
  <si>
    <t>Coefficients pour norme EN 1591 suivant EN 13555 disponible sur demande</t>
  </si>
  <si>
    <t>II-1093/2009 IV E</t>
  </si>
  <si>
    <t>T &lt; 200 °C - 130 bar</t>
  </si>
  <si>
    <t>EFA-NG</t>
  </si>
  <si>
    <t>LATTY®graf EFA NG</t>
  </si>
  <si>
    <t>Graphite souple expansé en feuille associé à une tôle en acier inoxydable spécialement adaptée pour favoriser l'accrochage du graphite sans collage. Cet assemblage par agrafage permet au produit fini de conserver les propriétés intrinsèques du graphite souple. Le renfort rend la manipulation très aisée des feuilles et des joints découpés.</t>
  </si>
  <si>
    <t>A.Q. FTP 281 rév. 3</t>
  </si>
  <si>
    <t>Qualité du graphite souple: LATTYgraf E NG</t>
  </si>
  <si>
    <t>Serrage faible, force de réaction constante (relaxation faible), stabilité lors des chocs thermiques.</t>
  </si>
  <si>
    <t>LATTY®graf EF</t>
  </si>
  <si>
    <t>A.Q. FTP 014 rév. 9</t>
  </si>
  <si>
    <t>comp_Elément antifriction_min_%</t>
  </si>
  <si>
    <t>comp_Elément antifriction_max_%</t>
  </si>
  <si>
    <t>2-3243/2012 E</t>
  </si>
  <si>
    <t>T &lt; 60 °C - 230 bar</t>
  </si>
  <si>
    <t>60 &lt; T &lt; 200 °C - 220 bar</t>
  </si>
  <si>
    <t>EFI</t>
  </si>
  <si>
    <t>LATTY®graf EFI</t>
  </si>
  <si>
    <t>Graphite expansé en feuille associé à un feuillard en acier inoxydable qui sert de renfort et permet une manipulation plus aisée des feuilles et des joints découpés.</t>
  </si>
  <si>
    <t>Disponible en version sans marquage, à la demande</t>
  </si>
  <si>
    <t>A.Q. FTP 005 rév. 3</t>
  </si>
  <si>
    <t>Tôle acier inoxydable du type ISO 1.4404 (AISI 316L ou AFNOR Z2 CND 17-12) - épaisseur : 0,05 mm</t>
  </si>
  <si>
    <t xml:space="preserve">60 MPa à 400 °C </t>
  </si>
  <si>
    <t>LATTY®graf EFMC@</t>
  </si>
  <si>
    <t>Multicouche de fines épaisseurs de graphite expansé associé à des feuilles en acier inoxydable spécialement adapté pour favoriser l'accrochage du graphite sans collage. Cet assemblage par agrafage permet au produit fini de conserver les propriétés intrinsèques du graphite souple. Le renfort rend la manipulation très aisée des feuilles et des joints découpés.</t>
  </si>
  <si>
    <t>A.Q. FTP 270 rév. 3</t>
  </si>
  <si>
    <t>Qualité du graphite souple: LATTYgraf EFMC@</t>
  </si>
  <si>
    <t>Tôle acier inoxydable du type ISO 1.4404 (AISI 316L ou AFNOR Z2 CND 17-12)</t>
  </si>
  <si>
    <t>Manipulation très aisée des feuilles et des joints découpés</t>
  </si>
  <si>
    <t>caract_Facteur d'étanchéité "m"_min_adim</t>
  </si>
  <si>
    <t>caract_Facteur d'étanchéité "m"_max_adim</t>
  </si>
  <si>
    <t>caract_Facteur d'étanchéité "m"_norme</t>
  </si>
  <si>
    <t>ASME</t>
  </si>
  <si>
    <t>caract_Facteur d'étanchéité "y"_min_MPa</t>
  </si>
  <si>
    <t>caract_Facteur d'étanchéité "y"_max_MPa</t>
  </si>
  <si>
    <t>Facteurs de compression selon DIN28090 et caractérisation suivant EN 13555 sous demande.</t>
  </si>
  <si>
    <t>EFMC-BS</t>
  </si>
  <si>
    <t>LATTY®graf EFMC BS</t>
  </si>
  <si>
    <t>A.Q. FTP 267 rév. 4</t>
  </si>
  <si>
    <t>DIN3535-6</t>
  </si>
  <si>
    <t>Qualité du graphite souple: LATTYgraf EFMC BS</t>
  </si>
  <si>
    <t>17-0184</t>
  </si>
  <si>
    <t>EF-NG</t>
  </si>
  <si>
    <t>LATTY®graf EF NG</t>
  </si>
  <si>
    <t>A.Q. FTP 283 rév. 7</t>
  </si>
  <si>
    <t>concent_Chlore extractible sur produit fini_max_ppm</t>
  </si>
  <si>
    <t>EN14772§6.7</t>
  </si>
  <si>
    <t>2-291/2012 II E</t>
  </si>
  <si>
    <t>T &lt; 60 °C - 270 bar</t>
  </si>
  <si>
    <t>60 &lt; T &lt; 100 °C - 230 bar</t>
  </si>
  <si>
    <t>100 &lt; T &lt; 150 °C - 220 bar</t>
  </si>
  <si>
    <t>150 &lt; T &lt; 200 °C - 200 bar</t>
  </si>
  <si>
    <t>200 &lt; T &lt; 220 °C - 190 bar</t>
  </si>
  <si>
    <t>E</t>
  </si>
  <si>
    <t>LATTY®graf E</t>
  </si>
  <si>
    <t>A.Q. FTP 009 rév. 6</t>
  </si>
  <si>
    <t>&lt; 450 °C si milieu oxydant / &lt; 2500 °C en milieu inerte</t>
  </si>
  <si>
    <t>2-2664/2014 E</t>
  </si>
  <si>
    <t>T &lt; 60 °C - 430 bar (bague)</t>
  </si>
  <si>
    <t>60 &lt; T &lt; 250 °C - 250 bar (bague)</t>
  </si>
  <si>
    <t>T &lt; 200 °C - 100 bar (joint plat)</t>
  </si>
  <si>
    <t>EHT</t>
  </si>
  <si>
    <t>LATTY®graf EHT</t>
  </si>
  <si>
    <t>A.Q. FTP 322 rév. 3</t>
  </si>
  <si>
    <t>16027776 E</t>
  </si>
  <si>
    <t>T &lt; 60 °C - 450 bar</t>
  </si>
  <si>
    <t>60 &lt; T &lt; 250 °C - 250 bar</t>
  </si>
  <si>
    <t>EHT-NUC</t>
  </si>
  <si>
    <t>LATTY®graf EHT NUC</t>
  </si>
  <si>
    <t>A.Q. FTP 367 rév. 1</t>
  </si>
  <si>
    <t>HPML</t>
  </si>
  <si>
    <t>LATTY®graf HPML</t>
  </si>
  <si>
    <t>Joint à base de graphite expansé doté de multiples inserts en feuille d’acier inoxydable, facilitant ainsi sa manipulation, sa découpe et son comportement mécanique. LATTY®graf HPML présente une excellente résistance chimique et thermique. Sa résistance élevée au fluage et sa compressibilité élevée le rendent approprié aux conditions très exigeantes des industries chimiques et pétrochimiques.</t>
  </si>
  <si>
    <t>A.Q. FTP 360 rév. 2</t>
  </si>
  <si>
    <t>16 h, 50 MPa, 300 °C</t>
  </si>
  <si>
    <t>20 MPa</t>
  </si>
  <si>
    <t>caract_Module de compression à température ambiante KSW_min_%</t>
  </si>
  <si>
    <t>caract_Module de compression à température ambiante KSW_max_%</t>
  </si>
  <si>
    <t>caract_Module de compression à température ambiante KSW_norme</t>
  </si>
  <si>
    <t>caract_Module de compression à température ambiante KSW_obs</t>
  </si>
  <si>
    <t>150 °C, 20 MPa , 16 heures</t>
  </si>
  <si>
    <t>caract_Module de compression à température élévée WSW_min_%</t>
  </si>
  <si>
    <t>caract_Module de compression à à température élévée WSW_max_%</t>
  </si>
  <si>
    <t>caract_Module de compression à température élévée WSW_norme</t>
  </si>
  <si>
    <t>caract_Module de compression à température élévée WSW_obs</t>
  </si>
  <si>
    <t>1 MPa</t>
  </si>
  <si>
    <t>150 °C, 1 MPa, 16 heures</t>
  </si>
  <si>
    <t>à 300 °C</t>
  </si>
  <si>
    <t>&lt; 550 °C si milieu oxydant</t>
  </si>
  <si>
    <t>22012766-I-E</t>
  </si>
  <si>
    <t>HPML-NUC-D</t>
  </si>
  <si>
    <t>LATTY®graf HPML NUC-D</t>
  </si>
  <si>
    <t>EFMC</t>
  </si>
  <si>
    <t>Joint à base de graphite expansé doté de multiples inserts en feuille d’acier inoxydable, facilitant ainsi sa manipulation, sa découpe et son comportement mécanique. Il présente une excellente résistance chimique et thermique. Sa résistance élevée au fluage et sa compressibilité élevée le rendent approprié aux conditions très exigeantes de l’industrie nucléaire.</t>
  </si>
  <si>
    <t>A.Q. FTP 369 rév. 1</t>
  </si>
  <si>
    <t>Caractéristiques techniques correspondantes à un joint d'épaisseur 2 mm (3 inserts dans 0,05 mm)</t>
  </si>
  <si>
    <t>17-0405</t>
  </si>
  <si>
    <t>HPML-NUC-S</t>
  </si>
  <si>
    <t>LATTY®graf HPML NUC-S</t>
  </si>
  <si>
    <t>A.Q. FTP 370 rév. 1</t>
  </si>
  <si>
    <t>ASTM F36A</t>
  </si>
  <si>
    <t>PMUC N° 17-0404</t>
  </si>
  <si>
    <t>LATTY®pack 960</t>
  </si>
  <si>
    <t>Joint de chaudière confectionné à partir d'un mélange composite de fibres synthétiques, de carbone et de roche liées et comprimées avec un mélange à base d'élastomères synthétiques. La résistance mécanique est accrue par un gainage de fils de graphite armé Ni-Cr . La  inition du joint LATTY®pack 960 est assurée par un moulage et un graphitage afin de garantir une parfaite cohésion.</t>
  </si>
  <si>
    <t>A.Q. FTP 189 rév. 3</t>
  </si>
  <si>
    <t>comp_Graphite armé_min_%</t>
  </si>
  <si>
    <t>comp_Graphite armé_max_%</t>
  </si>
  <si>
    <t>comp_Elastomères_min_%</t>
  </si>
  <si>
    <t>comp_Elastomères_max_%</t>
  </si>
  <si>
    <t>comp_Fibres synthétiques, carbone, roche et charges_min_%</t>
  </si>
  <si>
    <t>comp_Fibres synthétiques, carbone, roche et charges_max_%</t>
  </si>
  <si>
    <t>Le joint peut être fabriqué en géométrie circulaire ou elliptique (suivant parc d'outillages).</t>
  </si>
  <si>
    <t>&lt; 50 bar à 250 °C</t>
  </si>
  <si>
    <t>AL</t>
  </si>
  <si>
    <t>LATTY®tex AL</t>
  </si>
  <si>
    <t>Tresse</t>
  </si>
  <si>
    <t>Garniture fabriquée à partir de feuilles d'aluminium froissées, imprégnées de lubrifiant et de graphite, enroulées autour d'une âme lubrifiée en aramide.</t>
  </si>
  <si>
    <t>A.Q. FTP 048 rév. 2</t>
  </si>
  <si>
    <t>comp_Feuillard aluminium_min_%</t>
  </si>
  <si>
    <t>comp_Feuillard aluminium_max_%</t>
  </si>
  <si>
    <t>Epaisseur du feuillard aluminium : 0,03 mm</t>
  </si>
  <si>
    <t>MHT</t>
  </si>
  <si>
    <t>LATTY®tex MHT</t>
  </si>
  <si>
    <t>Joint d'étanchéité réalisé à partir de papier Phlogopite imprégné et lié avec une résine silicone à haute résistance thermique (plus insert à picots). Cette qualité est particulièrement adaptée aux utilisations hautes températures.</t>
  </si>
  <si>
    <t>A.Q. FTP 217 rév. 3</t>
  </si>
  <si>
    <t>comp_Mica phlogopite_min_%</t>
  </si>
  <si>
    <t>comp_Mica phlogopite_max_%</t>
  </si>
  <si>
    <t>DIN 3754</t>
  </si>
  <si>
    <t>DIN 52910</t>
  </si>
  <si>
    <t>16h, 175 °C, 50 MPa</t>
  </si>
  <si>
    <t>caract_Relaxation à chaud_min_MPa</t>
  </si>
  <si>
    <t>caract_Relaxation à chaud_max_MPa</t>
  </si>
  <si>
    <t>caract_Relaxation à chaud_norme</t>
  </si>
  <si>
    <t>caract_Relaxation à chaud_obs</t>
  </si>
  <si>
    <t>charge résiduelle - essai "Mohr" à 300 °C</t>
  </si>
  <si>
    <t>caract_Densité des bagues_norme</t>
  </si>
  <si>
    <t>caract_Conductivité thermique_norme</t>
  </si>
  <si>
    <t>caract_Conductivité thermique_obs</t>
  </si>
  <si>
    <t>caract_Conductivité thermique sens parallèle et perpendiculaire_norme</t>
  </si>
  <si>
    <t>caract_Conductivité thermique sens parallèle et perpendiculaire_obs</t>
  </si>
  <si>
    <t>caract_Conductivité thermique à travers l'épaisseur_norme</t>
  </si>
  <si>
    <t>caract_Conductivité thermique à travers l'épaisseur_obs</t>
  </si>
  <si>
    <t>T = 650 °C</t>
  </si>
  <si>
    <t>T = 800 °C</t>
  </si>
  <si>
    <t>caract_Retrait linéaire sur matériaux à l'état libre_min_%</t>
  </si>
  <si>
    <t>caract_Retrait linéaire sur matériaux à l'état libre_max_%</t>
  </si>
  <si>
    <t>caract_Retrait linéaire sur matériaux à l'état libre_norme</t>
  </si>
  <si>
    <t>caract_Retrait linéaire sur matériaux à l'état libre_obs</t>
  </si>
  <si>
    <t>caract_Coefficient de frottement_norme</t>
  </si>
  <si>
    <t>caract_Coefficient de frottement_obs</t>
  </si>
  <si>
    <t>caract_Dilatation thermique_obs</t>
  </si>
  <si>
    <t>caract_Dilatation thermique sens parallèle et perpendiculaire_norme</t>
  </si>
  <si>
    <t>caract_Coefficient de transmission radiale_norme</t>
  </si>
  <si>
    <t>caract_Coefficient de transmission radiale_obs</t>
  </si>
  <si>
    <t>caract_Perte de masse à température élevée_norme</t>
  </si>
  <si>
    <t>caract_Compressibilité_obs</t>
  </si>
  <si>
    <t>caract_Compressibilité après immersion sous eau_obs</t>
  </si>
  <si>
    <t>caract_Reprise élastique après immersion eau_min_%</t>
  </si>
  <si>
    <t>caract_Reprise élastique après immersion eau_norme</t>
  </si>
  <si>
    <t>caract_Reprise élastique après immersion eau_obs</t>
  </si>
  <si>
    <t>en % de l'écrasement</t>
  </si>
  <si>
    <t>ASTM F 36J</t>
  </si>
  <si>
    <t>caract_Reprise élastique_obs</t>
  </si>
  <si>
    <t>caract_Limite élastique à 20 °C_min_MPa</t>
  </si>
  <si>
    <t>caract_Limite élastique à 20 °C_max_Mpa</t>
  </si>
  <si>
    <t>caract_Limite élastique à 200 °C_min_Mpa</t>
  </si>
  <si>
    <t>caract_Limite élastique à 200 °C_max_Mpa</t>
  </si>
  <si>
    <t>sous contrainte de 32 MPa et pression 40 bar</t>
  </si>
  <si>
    <t>sous contrainte de 35 MPa et pression hélium 40 bar</t>
  </si>
  <si>
    <t>caract_Fuite d'azote_norme</t>
  </si>
  <si>
    <t>caract_Fuite d'azote_obs</t>
  </si>
  <si>
    <t>5 h à 150°C</t>
  </si>
  <si>
    <t>caract_Elongation_obs</t>
  </si>
  <si>
    <t>caract_Dureté_obs</t>
  </si>
  <si>
    <t>caract_Relaxation au fluage à température élévée WRW_min_%</t>
  </si>
  <si>
    <t>caract_Relaxation au fluage à température élévée WRW_max_%</t>
  </si>
  <si>
    <t>caract_Relaxation au fluage à température élévée WRW_norme</t>
  </si>
  <si>
    <t>caract_Relaxation au fluage à température élévée WRW_obs</t>
  </si>
  <si>
    <t>caract_Relaxation au fluage à température ambiante KRW_min_%</t>
  </si>
  <si>
    <t>caract_Relaxation au fluage à température ambiante KRW_max_%</t>
  </si>
  <si>
    <t>caract_Relaxation au fluage à température ambiante KRW_norme</t>
  </si>
  <si>
    <t>caract_Relaxation au fluage à température ambiante KRW_obs</t>
  </si>
  <si>
    <t>sous 50 MPa</t>
  </si>
  <si>
    <t>caract_Relaxation sous contrainte à chaud_min_%</t>
  </si>
  <si>
    <t>caract_Relaxation sous contrainte à chaud_norme</t>
  </si>
  <si>
    <t>caract_Relaxation sous contrainte à chaud_obs</t>
  </si>
  <si>
    <t>caract_Compression sous contrainte à froid_max_%</t>
  </si>
  <si>
    <t>caract_Compression sous contrainte à froid_norme</t>
  </si>
  <si>
    <t>caract_Compression sous contrainte à froid_obs</t>
  </si>
  <si>
    <t>Facteur d'étanchéité suivant DIN 2505 sous demande</t>
  </si>
  <si>
    <t>caract_Perte de masse à température élevée_max_%/h</t>
  </si>
  <si>
    <t>comp_Agent liant_min_%</t>
  </si>
  <si>
    <t>Vapeur : 80 bar / 285 °C. Liquide : 150 bar / 200 °C</t>
  </si>
  <si>
    <t>&lt; 80 bar sur vannes en montage seul et &lt; 20 bar sur pompes</t>
  </si>
  <si>
    <t>vanne 8" série 300 lbs (cotes 34,9x50,8) 50 bar (mesure initiale par reniflage)</t>
  </si>
  <si>
    <t>caract_Facteur d'étanchéité "y"_norme</t>
  </si>
  <si>
    <t>caract_Fuite d'hélium (1)_norme</t>
  </si>
  <si>
    <t>caract_Fuite d'hélium (1)_obs</t>
  </si>
  <si>
    <t>caract_Fuite d'hélium (2)_obs</t>
  </si>
  <si>
    <t>LATTY®graf EBST</t>
  </si>
  <si>
    <t>E48Z11LY1700</t>
  </si>
  <si>
    <t>LATTY® E48Z11LY1700</t>
  </si>
  <si>
    <t>Elastomère</t>
  </si>
  <si>
    <t>Mélange à base d’élastomère EPDM de couleur noir, développé pour des applications dans le domaine nucléaire en statique ou en dynamique. Ce mélange répond à la spécification chimique du RCCM et du PMUC avec des valeurs de teneur en halogène et en soufre inférieures à 200 ppm (Selon procédure GDL D5710/ESD/1990/000295/001).</t>
  </si>
  <si>
    <t>A.Q. FTP 327 rév. 8</t>
  </si>
  <si>
    <t>comp_EPDM_min_%</t>
  </si>
  <si>
    <t>comp_EPDM_max_%</t>
  </si>
  <si>
    <t>Bonne tenue aux intempéries, à l’ozone, à l’oxygène, aux fluides hydrauliques de type ester phosphoriques aux solvants polaires (eau, alcools, glycols, cétones), à la vapeur, aux détergeant</t>
  </si>
  <si>
    <t>Mauvaise tenue aux huiles et hydrocarbures</t>
  </si>
  <si>
    <t>Conditions sous air en service prolongé et dynamique. Tmin = -65 °C en statique. Tmax = 150 °C si sous air et service limité 24h. Tmax = 140 °C dans l'eau et service prolongé. Tmax = 170 °C dans l'eau et service limité 24h.</t>
  </si>
  <si>
    <t>NF ISO 37</t>
  </si>
  <si>
    <t>caract_Allongement à la rupture_min_%</t>
  </si>
  <si>
    <t>caract_Allongement à la rupture_max_%</t>
  </si>
  <si>
    <t>caract_Allongement à la rupture_norme_%</t>
  </si>
  <si>
    <t>caract_Module à 100 %_min_%</t>
  </si>
  <si>
    <t>caract_Module à 100 %_max_%</t>
  </si>
  <si>
    <t>NF ISO 34</t>
  </si>
  <si>
    <t>NF ISO 2781</t>
  </si>
  <si>
    <t>caract_Déformations rémanentes après compression_min_%</t>
  </si>
  <si>
    <t>caract_Déformations rémanentes après compression_max_%</t>
  </si>
  <si>
    <t>caract_Déformations rémanentes après compression_norme</t>
  </si>
  <si>
    <t>caract_Déformations rémanentes après compression_obs</t>
  </si>
  <si>
    <t>NF ISO 815-1</t>
  </si>
  <si>
    <t>22 h / 100°C</t>
  </si>
  <si>
    <t>70 h / 100 °C</t>
  </si>
  <si>
    <t>caract_Module à 100 %_norme</t>
  </si>
  <si>
    <t>caract_Résistance au déchirement (méthode C)_norme</t>
  </si>
  <si>
    <t>caract_Température limite de non fragilité Britlle- état initial_min_°C</t>
  </si>
  <si>
    <t>caract_Température limite de non fragilité Britlle- état initial_max_°C</t>
  </si>
  <si>
    <t>caract_Température limite de non fragilité Britlle- état initial_norme</t>
  </si>
  <si>
    <t>EN ISO 2039-1</t>
  </si>
  <si>
    <t>caract_Température de rétraction TR 10 - état initial_min_°C</t>
  </si>
  <si>
    <t>caract_Température de rétraction TR 10 - état initial_max_°C</t>
  </si>
  <si>
    <t>caract_Température de rétraction TR 10 - état initial_norme</t>
  </si>
  <si>
    <t>caract_Température de rétraction TR 10 - état initial_obs</t>
  </si>
  <si>
    <t>Ce joint a été qualifié à l'ambience thermo-radioactive suivant la note de cadrage pour la qualification du groupe motopompe ND palier 900 MW (rapport EDF PWW05F01170090MMIZ)</t>
  </si>
  <si>
    <t>17-0389</t>
  </si>
  <si>
    <t>LATTY® ERD0216ALY1700</t>
  </si>
  <si>
    <t>ERD0216ALY1700</t>
  </si>
  <si>
    <t>Mélange à base d’élastomère EPDM de couleur noir, développé pour des applications dans le domaine nucléaire en statique ou en dynamique.</t>
  </si>
  <si>
    <t>AQ. FTP 329 rév. 4</t>
  </si>
  <si>
    <t>70 h / 100 °C - 14,4% à 70h / 150 °C</t>
  </si>
  <si>
    <t>NF ISO 719-1</t>
  </si>
  <si>
    <t>17-0390</t>
  </si>
  <si>
    <t>Excellente résistance aux intempéries, à l’ozone, à l’oxygène.</t>
  </si>
  <si>
    <t>Bonne tenue à l’eau déminéralisée.</t>
  </si>
  <si>
    <t>Ce joint a été qualifié à l'ambience thermo-radioactive suivant la note de cadrage pour la qualification du groupe motopompe ND palier 900 MW (rapport EDF D305914010730)</t>
  </si>
  <si>
    <t>Mélange à base de caoutchouc d'éthylène et d'acrylate de méthyle développé pour des applications dans le domaine nucléaire.</t>
  </si>
  <si>
    <t>A.Q. FTP 372 rév. 0</t>
  </si>
  <si>
    <t>comp_Caoutchouc d'éthylène / d'acrylate de méthyle_min_%</t>
  </si>
  <si>
    <t>comp_Caoutchouc d'éthylène / d'acrylate de méthyle_max_%</t>
  </si>
  <si>
    <t>caract_Variation de volume après immersion sous F103_min_%</t>
  </si>
  <si>
    <t>caract_Variation de volume après immersion sous F103_max_%</t>
  </si>
  <si>
    <t>caract_Variation de volume après immersion sous F103_norme</t>
  </si>
  <si>
    <t>caract_Variation de volume après immersion sous F103_obs</t>
  </si>
  <si>
    <t>caract_Variation de volume après immersion sous IRM901_min_%</t>
  </si>
  <si>
    <t>caract_Variation de volume après immersion sous IRM901_max_%</t>
  </si>
  <si>
    <t>caract_Variation de volume après immersion sous IRM901_norme</t>
  </si>
  <si>
    <t>caract_Variation de volume après immersion sous IRM901_obs</t>
  </si>
  <si>
    <t>caract_Variation de volume après immersion sous IRM903_min_%</t>
  </si>
  <si>
    <t>caract_Variation de volume après immersion sous IRM903_max_%</t>
  </si>
  <si>
    <t>caract_Variation de volume après immersion sous IRM903_norme</t>
  </si>
  <si>
    <t>caract_Variation de volume après immersion sous IRM903_obs</t>
  </si>
  <si>
    <t>70 h / 150 °C</t>
  </si>
  <si>
    <t>En service prolongé. -20 à 175 °C en service limité 24 h</t>
  </si>
  <si>
    <t>17-0414</t>
  </si>
  <si>
    <t>Couleur noire. Très bonne résistance aux intempéries, aux huiles non aromatiques, diesel, kérosène mais faible résistance aux acides concentrés, huiles aromatiques et aux cétones.</t>
  </si>
  <si>
    <t>caract_Résistance à la rupture_min_MPa</t>
  </si>
  <si>
    <t>sens perpendiculaire</t>
  </si>
  <si>
    <t>caract_Résistance à la rupture_max_MPa</t>
  </si>
  <si>
    <t>caract_Résistance à la rupture_norme</t>
  </si>
  <si>
    <t>caract_Résistance à la rupture_obs</t>
  </si>
  <si>
    <t>VAM7Z11LY245</t>
  </si>
  <si>
    <t>LATTY® VAM7Z11LY245</t>
  </si>
  <si>
    <t>pour d = 1,4</t>
  </si>
  <si>
    <t>pour d = 1,1</t>
  </si>
  <si>
    <t>pour d &gt; 1</t>
  </si>
  <si>
    <t>densité du ruban standard</t>
  </si>
  <si>
    <t>densité hors armature</t>
  </si>
  <si>
    <t>pour d = 1 et e = 0,35</t>
  </si>
  <si>
    <t>pour d = 1,1 et e = 0,4</t>
  </si>
  <si>
    <t>pour d = 1,1 et e = 0,35</t>
  </si>
  <si>
    <t>caract_Étanchéité aux gaz (1)_max_cm3/min</t>
  </si>
  <si>
    <t>caract_Fuite d'hélium (1)_min_atm.cm3/s</t>
  </si>
  <si>
    <t>caract_Fuite d'hélium (1)_max_atm.cm3/s</t>
  </si>
  <si>
    <t>caract_Densité_min_g.cm-3</t>
  </si>
  <si>
    <t>caract_Densité_max_g.cm-3</t>
  </si>
  <si>
    <t>caract_Densité des bagues_min_g.cm-3</t>
  </si>
  <si>
    <t>caract_Densité des bagues_max_g.cm-3</t>
  </si>
  <si>
    <t>caract_Conductivité thermique_min_W.m-1K-1</t>
  </si>
  <si>
    <t>caract_Conductivité thermique_max_W.m-1K-1</t>
  </si>
  <si>
    <t>caract_Conductivité thermique sens parallèle et perpendiculaire_min_W.m-1K-1</t>
  </si>
  <si>
    <t>caract_Conductivité thermique sens parallèle et perpendiculaire_max_W.m-1K-1</t>
  </si>
  <si>
    <t>caract_Conductivité thermique à travers l'épaisseur_min_W.m-1K-1</t>
  </si>
  <si>
    <t>caract_Conductivité thermique à travers l'épaisseur_max_W.m-1K-1</t>
  </si>
  <si>
    <t>caract_Dilatation thermique_min_m.m-1K-1</t>
  </si>
  <si>
    <t>caract_Dilatation thermique_max_m.m-1K-1</t>
  </si>
  <si>
    <t>caract_Dilatation thermique sens parallèle et perpendiculaire_min_m.m-1K-1</t>
  </si>
  <si>
    <t>caract_Dilatation thermique sens parallèle et perpendiculaire_max_m.m-1K-1</t>
  </si>
  <si>
    <t>caract_Dilatation thermique à travers l'épaisseur_min_m.m-1K-1</t>
  </si>
  <si>
    <t>caract_Dilatation thermique à travers l'épaisseur_max_m.m-1K-1</t>
  </si>
  <si>
    <t>caract_Perméabilité à travers l'épaisseur_min_cm2.s-1atm-1</t>
  </si>
  <si>
    <t>caract_Perméabilité à travers l'épaisseur_max_cm2.s-1atm-1</t>
  </si>
  <si>
    <t>caract_Résistance au déchirement (méthode C)_min_kN.m-1</t>
  </si>
  <si>
    <t>caract_Résistance au déchirement (méthode C)_max_kN.m-1</t>
  </si>
  <si>
    <t>caract_Fuite d'azote_max_atm.cm3.s-1</t>
  </si>
  <si>
    <t>caract_Étanchéité aux gaz (2)_min_mg.s-1m-1</t>
  </si>
  <si>
    <t>caract_Étanchéité aux gaz (2)_max_mg.s-1m-1</t>
  </si>
  <si>
    <t>caract_Fuite d'hélium (2)_min_mg.s-1m-1</t>
  </si>
  <si>
    <t>caract_Fuite d'hélium (2)_max_mg.s-1m-1</t>
  </si>
  <si>
    <t>caract_Fuite d'hélium (2)_mg.s-1m-1</t>
  </si>
  <si>
    <t>Application BAM (1)</t>
  </si>
  <si>
    <t>Application BAM (2)</t>
  </si>
  <si>
    <t>Application BAM (3)</t>
  </si>
  <si>
    <t>Application BAM (4)</t>
  </si>
  <si>
    <t>Application BAM (5)</t>
  </si>
  <si>
    <t>param_Tenue en vitesse_max_m.s-1</t>
  </si>
  <si>
    <t>30 MPa, 16 heures, 150 °C</t>
  </si>
  <si>
    <t>16 h, 300°C, 50 MPa</t>
  </si>
  <si>
    <t>24 h à 23°C</t>
  </si>
  <si>
    <t>48 h à 100°C</t>
  </si>
  <si>
    <t>Pointes ponctuelles de courte durée : 1000°C (lors de la première montée en température : disparition de la fibre organique à partir de 250°C.)</t>
  </si>
  <si>
    <t>48 h à 23 °C</t>
  </si>
  <si>
    <t>70 h à 100 °C</t>
  </si>
  <si>
    <t>24 h à 23 °C</t>
  </si>
  <si>
    <t>5 h à 150 °C</t>
  </si>
  <si>
    <t>48 h à 100 °C</t>
  </si>
  <si>
    <t>caract_Δm après immersion sous solvant type B_max_%</t>
  </si>
  <si>
    <t>caract_Δm après immersion sous solvant type B_norme</t>
  </si>
  <si>
    <t>caract_Δm après immersion sous solvant type B_obs</t>
  </si>
  <si>
    <t>caract_Δm après immersion sous huile IRM 903_max_%</t>
  </si>
  <si>
    <t>caract_Δm après immersion sous huile IRM 903_norme</t>
  </si>
  <si>
    <t>caract_Δm après immersion sous huile IRM 903_obs</t>
  </si>
  <si>
    <t>caract_Δm après immersion sous eau distillée_max_%</t>
  </si>
  <si>
    <t>caract_Δm après immersion sous eau distillée_norme</t>
  </si>
  <si>
    <t>caract_Δm après immersion sous eau distillée_obs</t>
  </si>
  <si>
    <t>caract_Δm après immersion sous H2SO4 95 %_max_%</t>
  </si>
  <si>
    <t>caract_Δm après immersion sous H2SO4 95 %_norme</t>
  </si>
  <si>
    <t>caract_Δm après immersion sous H2SO4 95 %_obs</t>
  </si>
  <si>
    <t>caract_Δm après immersion sous HNO3 60 %_max_%</t>
  </si>
  <si>
    <t>caract_Δm après immersion sous HNO3 60 %_norme</t>
  </si>
  <si>
    <t>caract_Δm après immersion sous HNO3 60 %_obs</t>
  </si>
  <si>
    <t>caract_Δm après immersion sous H2SO4 65 %_max_%</t>
  </si>
  <si>
    <t>caract_Δm après immersion sous H2SO4 65 %_norme</t>
  </si>
  <si>
    <t>caract_Δm après immersion sous H2SO4 65 %_obs</t>
  </si>
  <si>
    <t>caract_Δm après immersion sous HNO3 50 %_max_%</t>
  </si>
  <si>
    <t>caract_Δm après immersion sous HNO3 50 %_norme</t>
  </si>
  <si>
    <t>caract_Δm après immersion sous HNO3 50 %_obs</t>
  </si>
  <si>
    <t>caract_Δm après immersion sous NaOH 40 %_max_%</t>
  </si>
  <si>
    <t>caract_Δm après immersion sous NaOH 40 %_norme</t>
  </si>
  <si>
    <t>caract_Δm après immersion sous NaOH 40 %_obs</t>
  </si>
  <si>
    <t>caract_Δm après immersion sous huile ASTM n° 1_max_%</t>
  </si>
  <si>
    <t>caract_Δm après immersion sous huile ASTM n° 1_norme</t>
  </si>
  <si>
    <t>caract_Δm après immersion sous huile ASTM n° 1_obs</t>
  </si>
  <si>
    <t>caract_Δm après immersion sous  mélange antigel 50/50_max_%</t>
  </si>
  <si>
    <t>caract_Δm après immersion sous  mélange antigel 50/50_norme</t>
  </si>
  <si>
    <t>caract_Δm après immersion sous  mélange antigel 50/50_obs</t>
  </si>
  <si>
    <t>caract_Δe après immersion sous solvant type B_max_%</t>
  </si>
  <si>
    <t>caract_Δe après immersion sous solvant type B_norme</t>
  </si>
  <si>
    <t>caract_Δe après immersion sous solvant type B_obs</t>
  </si>
  <si>
    <t>caract_Δe après immersion sous huile IRM 903_max_%</t>
  </si>
  <si>
    <t>caract_Δe après immersion sous huile IRM 903_norme</t>
  </si>
  <si>
    <t>caract_Δe après immersion sous huile IRM 903_obs</t>
  </si>
  <si>
    <t>caract_Δe après immersion sous eau distillée_max_%</t>
  </si>
  <si>
    <t>caract_Δe après immersion sous eau distillée_norme</t>
  </si>
  <si>
    <t>caract_Δe après immersion sous eau distillée_obs</t>
  </si>
  <si>
    <t>caract_Δe après immersion sous H2SO4 95 %_max_%</t>
  </si>
  <si>
    <t>caract_Δe après immersion sous H2SO4 95 %_norme</t>
  </si>
  <si>
    <t>caract_Δe après immersion sous H2SO4 95 %_obs</t>
  </si>
  <si>
    <t>caract_Δe après immersion sous HNO3 60 %_max_%</t>
  </si>
  <si>
    <t>caract_Δe après immersion sous HNO3 60 %_norme</t>
  </si>
  <si>
    <t>caract_Δe après immersion sous HNO3 60 %_obs</t>
  </si>
  <si>
    <t>caract_Δe après immersion sous H2SO4 65 %_max_%</t>
  </si>
  <si>
    <t>caract_Δe après immersion sous H2SO4 65 %_norme</t>
  </si>
  <si>
    <t>caract_Δe après immersion sous H2SO4 65 %_obs</t>
  </si>
  <si>
    <t>caract_Δe après immersion sous HNO3 50 %_max_%</t>
  </si>
  <si>
    <t>caract_Δe après immersion sous HNO3 50 %_norme</t>
  </si>
  <si>
    <t>caract_Δe après immersion sous HNO3 50 %_obs</t>
  </si>
  <si>
    <t>caract_Δe après immersion sous NaOH 40 %_max_%</t>
  </si>
  <si>
    <t>caract_Δe après immersion sous NaOH 40 %_norme</t>
  </si>
  <si>
    <t>caract_Δe après immersion sous NaOH 40 %_obs</t>
  </si>
  <si>
    <t>caract_Δe après immersion sous huile ASTM n° 1_max_%</t>
  </si>
  <si>
    <t>caract_Δe après immersion sous huile ASTM n° 1_norme</t>
  </si>
  <si>
    <t>caract_Δe après immersion sous huile ASTM n° 1_obs</t>
  </si>
  <si>
    <t>caract_Δe après immersion sous  mélange antigel 50/50_max_%</t>
  </si>
  <si>
    <t>caract_Δe après immersion sous  mélange antigel 50/50_norme</t>
  </si>
  <si>
    <t>caract_Δe après immersion sous  mélange antigel 50/50_obs</t>
  </si>
  <si>
    <t>BS 7531, DIN 3754-1</t>
  </si>
  <si>
    <r>
      <t>sous contrainte de 21 MPa et pression hélium 28 bar (2,5x10</t>
    </r>
    <r>
      <rPr>
        <vertAlign val="superscript"/>
        <sz val="10"/>
        <color theme="1"/>
        <rFont val="Aptos Narrow"/>
        <family val="2"/>
        <scheme val="minor"/>
      </rPr>
      <t>-4</t>
    </r>
    <r>
      <rPr>
        <sz val="10"/>
        <color theme="1"/>
        <rFont val="Aptos Narrow"/>
        <family val="2"/>
        <scheme val="minor"/>
      </rPr>
      <t xml:space="preserve"> à 37 MPa et 3x10</t>
    </r>
    <r>
      <rPr>
        <vertAlign val="superscript"/>
        <sz val="10"/>
        <color theme="1"/>
        <rFont val="Aptos Narrow"/>
        <family val="2"/>
        <scheme val="minor"/>
      </rPr>
      <t>-6</t>
    </r>
    <r>
      <rPr>
        <sz val="10"/>
        <color theme="1"/>
        <rFont val="Aptos Narrow"/>
        <family val="2"/>
        <scheme val="minor"/>
      </rPr>
      <t xml:space="preserve"> à 53 MPa)</t>
    </r>
  </si>
  <si>
    <t>en % de l'épaisseur initiale</t>
  </si>
  <si>
    <t>LATTY®tex 2013-01 (LATTYpack OIL)</t>
  </si>
  <si>
    <t>EF-EF4</t>
  </si>
  <si>
    <t>info_id</t>
  </si>
  <si>
    <t>info_nom</t>
  </si>
  <si>
    <t>info_nature</t>
  </si>
  <si>
    <t>info_matiere</t>
  </si>
  <si>
    <t>info_description</t>
  </si>
  <si>
    <t>info_versionft</t>
  </si>
  <si>
    <t>info_datemaj</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</si>
</sst>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sz val="10"/>
      <color theme="1"/>
      <name val="Aptos Narrow"/>
      <family val="2"/>
      <scheme val="minor"/>
    </font>
    <font>
      <sz val="10"/>
      <color rgb="FFFF0000"/>
      <name val="Aptos Narrow"/>
      <family val="2"/>
      <scheme val="minor"/>
    </font>
    <font>
      <sz val="10"/>
      <name val="Aptos Narrow"/>
      <family val="2"/>
      <scheme val="minor"/>
    </font>
    <font>
      <sz val="8"/>
      <color theme="1"/>
      <name val="Aptos Narrow"/>
      <family val="2"/>
      <scheme val="minor"/>
    </font>
    <font>
      <vertAlign val="superscript"/>
      <sz val="10"/>
      <color theme="1"/>
      <name val="Aptos Narrow"/>
      <family val="2"/>
      <scheme val="minor"/>
    </font>
  </fonts>
  <fills count="7">
    <fill>
      <patternFill patternType="none"/>
    </fill>
    <fill>
      <patternFill patternType="gray125"/>
    </fill>
    <fill>
      <patternFill patternType="solid">
        <fgColor theme="8" tint="0.79998168889431442"/>
        <bgColor indexed="64"/>
      </patternFill>
    </fill>
    <fill>
      <patternFill patternType="solid">
        <fgColor theme="9" tint="0.79998168889431442"/>
        <bgColor indexed="64"/>
      </patternFill>
    </fill>
    <fill>
      <patternFill patternType="solid">
        <fgColor theme="2"/>
        <bgColor indexed="64"/>
      </patternFill>
    </fill>
    <fill>
      <patternFill patternType="solid">
        <fgColor theme="5" tint="0.79998168889431442"/>
        <bgColor indexed="64"/>
      </patternFill>
    </fill>
    <fill>
      <patternFill patternType="solid">
        <fgColor theme="3" tint="0.89999084444715716"/>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7">
    <xf numFmtId="0" fontId="0" fillId="0" borderId="0" xfId="0"/>
    <xf numFmtId="0" fontId="1" fillId="0" borderId="1" xfId="0" applyFont="1" applyBorder="1" applyAlignment="1">
      <alignment horizontal="left" vertical="top" wrapText="1"/>
    </xf>
    <xf numFmtId="0" fontId="2" fillId="0" borderId="1" xfId="0" applyFont="1" applyBorder="1" applyAlignment="1">
      <alignment horizontal="left" vertical="top" wrapText="1"/>
    </xf>
    <xf numFmtId="14" fontId="1" fillId="0" borderId="1" xfId="0" applyNumberFormat="1" applyFont="1" applyBorder="1" applyAlignment="1">
      <alignment horizontal="left" vertical="top" wrapText="1"/>
    </xf>
    <xf numFmtId="0" fontId="1" fillId="4" borderId="1" xfId="0" applyFont="1" applyFill="1" applyBorder="1" applyAlignment="1">
      <alignment horizontal="left" vertical="top" wrapText="1"/>
    </xf>
    <xf numFmtId="0" fontId="1" fillId="4" borderId="1" xfId="0" applyNumberFormat="1" applyFont="1" applyFill="1" applyBorder="1" applyAlignment="1">
      <alignment horizontal="left" vertical="top" wrapText="1"/>
    </xf>
    <xf numFmtId="0" fontId="1" fillId="4" borderId="1" xfId="0" quotePrefix="1" applyNumberFormat="1" applyFont="1" applyFill="1" applyBorder="1" applyAlignment="1">
      <alignment horizontal="left" vertical="top" wrapText="1"/>
    </xf>
    <xf numFmtId="0" fontId="1" fillId="4" borderId="1" xfId="0" quotePrefix="1" applyFont="1" applyFill="1" applyBorder="1" applyAlignment="1">
      <alignment horizontal="left" vertical="top" wrapText="1"/>
    </xf>
    <xf numFmtId="0" fontId="1" fillId="3" borderId="1" xfId="0" applyFont="1" applyFill="1" applyBorder="1" applyAlignment="1">
      <alignment horizontal="left" vertical="top" wrapText="1"/>
    </xf>
    <xf numFmtId="0" fontId="1" fillId="5" borderId="1" xfId="0" applyFont="1" applyFill="1" applyBorder="1" applyAlignment="1">
      <alignment horizontal="left" vertical="top" wrapText="1"/>
    </xf>
    <xf numFmtId="0" fontId="1" fillId="5" borderId="1" xfId="0" applyNumberFormat="1" applyFont="1" applyFill="1" applyBorder="1" applyAlignment="1">
      <alignment horizontal="left" vertical="top" wrapText="1"/>
    </xf>
    <xf numFmtId="11" fontId="1" fillId="5" borderId="1" xfId="0" applyNumberFormat="1" applyFont="1" applyFill="1" applyBorder="1" applyAlignment="1">
      <alignment horizontal="left" vertical="top" wrapText="1"/>
    </xf>
    <xf numFmtId="0" fontId="1" fillId="6" borderId="1" xfId="0" applyFont="1" applyFill="1" applyBorder="1" applyAlignment="1">
      <alignment horizontal="left" vertical="top" wrapText="1"/>
    </xf>
    <xf numFmtId="0" fontId="1" fillId="6" borderId="1" xfId="0" quotePrefix="1" applyFont="1" applyFill="1" applyBorder="1" applyAlignment="1">
      <alignment horizontal="left" vertical="top" wrapText="1"/>
    </xf>
    <xf numFmtId="0" fontId="1" fillId="2" borderId="1" xfId="0" applyFont="1" applyFill="1" applyBorder="1" applyAlignment="1">
      <alignment horizontal="left" vertical="top" wrapText="1"/>
    </xf>
    <xf numFmtId="0" fontId="1" fillId="0" borderId="0" xfId="0" applyFont="1" applyBorder="1" applyAlignment="1">
      <alignment horizontal="left" vertical="top" wrapText="1"/>
    </xf>
    <xf numFmtId="0" fontId="3" fillId="5" borderId="1" xfId="0" applyFont="1" applyFill="1" applyBorder="1" applyAlignment="1">
      <alignment horizontal="left" vertical="top" wrapText="1"/>
    </xf>
    <xf numFmtId="0" fontId="1" fillId="0" borderId="0" xfId="0" applyFont="1" applyFill="1"/>
    <xf numFmtId="0" fontId="4" fillId="0" borderId="1" xfId="0" applyFont="1" applyBorder="1" applyAlignment="1">
      <alignment horizontal="left" vertical="top" wrapText="1"/>
    </xf>
    <xf numFmtId="0" fontId="0" fillId="0" borderId="1" xfId="0" applyFont="1" applyBorder="1" applyAlignment="1">
      <alignment horizontal="left" vertical="top"/>
    </xf>
    <xf numFmtId="0" fontId="4" fillId="4" borderId="1" xfId="0" applyNumberFormat="1" applyFont="1" applyFill="1" applyBorder="1" applyAlignment="1">
      <alignment horizontal="left" vertical="top" wrapText="1"/>
    </xf>
    <xf numFmtId="0" fontId="4" fillId="4" borderId="1" xfId="0" applyFont="1" applyFill="1" applyBorder="1" applyAlignment="1">
      <alignment horizontal="left" vertical="top" wrapText="1"/>
    </xf>
    <xf numFmtId="0" fontId="4" fillId="3" borderId="1" xfId="0" applyFont="1" applyFill="1" applyBorder="1" applyAlignment="1">
      <alignment horizontal="left" vertical="top" wrapText="1"/>
    </xf>
    <xf numFmtId="0" fontId="4" fillId="5" borderId="1" xfId="0" applyFont="1" applyFill="1" applyBorder="1" applyAlignment="1">
      <alignment horizontal="left" vertical="top" wrapText="1"/>
    </xf>
    <xf numFmtId="0" fontId="4" fillId="6" borderId="1" xfId="0" applyFont="1" applyFill="1" applyBorder="1" applyAlignment="1">
      <alignment horizontal="left" vertical="top" wrapText="1"/>
    </xf>
    <xf numFmtId="0" fontId="4" fillId="2" borderId="1" xfId="0" applyFont="1" applyFill="1" applyBorder="1" applyAlignment="1">
      <alignment horizontal="left" vertical="top" wrapText="1"/>
    </xf>
    <xf numFmtId="0" fontId="0" fillId="0" borderId="0" xfId="0" applyFont="1" applyBorder="1" applyAlignment="1">
      <alignment horizontal="left" vertical="top"/>
    </xf>
  </cellXfs>
  <cellStyles count="1">
    <cellStyle name="Normal"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F23811-42E5-4D3E-AD2D-9ACD4A35806E}">
  <dimension ref="A1:CP380"/>
  <sheetViews>
    <sheetView tabSelected="1" zoomScale="110" zoomScaleNormal="110" workbookViewId="0">
      <pane xSplit="1" ySplit="1" topLeftCell="AC2" activePane="bottomRight" state="frozen"/>
      <selection pane="topRight" activeCell="B1" sqref="B1"/>
      <selection pane="bottomLeft" activeCell="A2" sqref="A2"/>
      <selection pane="bottomRight" activeCell="AI9" sqref="AI9"/>
    </sheetView>
  </sheetViews>
  <sheetFormatPr baseColWidth="10" defaultRowHeight="15" customHeight="1" x14ac:dyDescent="0.25"/>
  <cols>
    <col min="1" max="1" width="65.85546875" style="26" customWidth="1"/>
    <col min="2" max="45" width="11.42578125" style="26"/>
    <col min="46" max="48" width="11.42578125" style="15"/>
    <col min="49" max="49" width="11.42578125" style="26"/>
    <col min="50" max="77" width="11.42578125" style="15"/>
    <col min="78" max="78" width="11.42578125" style="26"/>
    <col min="79" max="94" width="11.42578125" style="15"/>
    <col min="95" max="16384" width="11.42578125" style="26"/>
  </cols>
  <sheetData>
    <row r="1" spans="1:94" s="19" customFormat="1" ht="15" customHeight="1" x14ac:dyDescent="0.25">
      <c r="A1" s="18" t="s">
        <v>984</v>
      </c>
      <c r="B1" s="1" t="s">
        <v>25</v>
      </c>
      <c r="C1" s="1" t="s">
        <v>14</v>
      </c>
      <c r="D1" s="1" t="s">
        <v>19</v>
      </c>
      <c r="E1" s="1" t="s">
        <v>26</v>
      </c>
      <c r="F1" s="1" t="s">
        <v>33</v>
      </c>
      <c r="G1" s="1">
        <v>1779</v>
      </c>
      <c r="H1" s="1">
        <v>2710</v>
      </c>
      <c r="I1" s="1" t="s">
        <v>52</v>
      </c>
      <c r="J1" s="1">
        <v>2790</v>
      </c>
      <c r="K1" s="1" t="s">
        <v>63</v>
      </c>
      <c r="L1" s="1" t="s">
        <v>69</v>
      </c>
      <c r="M1" s="1">
        <v>3206</v>
      </c>
      <c r="N1" s="1" t="s">
        <v>79</v>
      </c>
      <c r="O1" s="1" t="s">
        <v>83</v>
      </c>
      <c r="P1" s="1">
        <v>3207</v>
      </c>
      <c r="Q1" s="1" t="s">
        <v>91</v>
      </c>
      <c r="R1" s="1" t="s">
        <v>96</v>
      </c>
      <c r="S1" s="1" t="s">
        <v>104</v>
      </c>
      <c r="T1" s="1">
        <v>4308</v>
      </c>
      <c r="U1" s="1">
        <v>4488</v>
      </c>
      <c r="V1" s="1">
        <v>4757</v>
      </c>
      <c r="W1" s="1">
        <v>4758</v>
      </c>
      <c r="X1" s="1">
        <v>4788</v>
      </c>
      <c r="Y1" s="1">
        <v>4789</v>
      </c>
      <c r="Z1" s="1">
        <v>5706</v>
      </c>
      <c r="AA1" s="1">
        <v>5790</v>
      </c>
      <c r="AB1" s="1" t="s">
        <v>146</v>
      </c>
      <c r="AC1" s="1">
        <v>7188</v>
      </c>
      <c r="AD1" s="1">
        <v>6118</v>
      </c>
      <c r="AE1" s="1" t="s">
        <v>159</v>
      </c>
      <c r="AF1" s="1" t="s">
        <v>165</v>
      </c>
      <c r="AG1" s="1">
        <v>6940</v>
      </c>
      <c r="AH1" s="1" t="s">
        <v>229</v>
      </c>
      <c r="AI1" s="1">
        <v>6960</v>
      </c>
      <c r="AJ1" s="1" t="s">
        <v>233</v>
      </c>
      <c r="AK1" s="1" t="s">
        <v>239</v>
      </c>
      <c r="AL1" s="1" t="s">
        <v>249</v>
      </c>
      <c r="AM1" s="1" t="s">
        <v>258</v>
      </c>
      <c r="AN1" s="1" t="s">
        <v>270</v>
      </c>
      <c r="AO1" s="1" t="s">
        <v>274</v>
      </c>
      <c r="AP1" s="1" t="s">
        <v>284</v>
      </c>
      <c r="AQ1" s="1" t="s">
        <v>301</v>
      </c>
      <c r="AR1" s="1">
        <v>2761</v>
      </c>
      <c r="AS1" s="1">
        <v>4777</v>
      </c>
      <c r="AT1" s="1" t="s">
        <v>705</v>
      </c>
      <c r="AU1" s="1" t="s">
        <v>359</v>
      </c>
      <c r="AV1" s="1" t="s">
        <v>351</v>
      </c>
      <c r="AW1" s="1">
        <v>614</v>
      </c>
      <c r="AX1" s="1">
        <v>96</v>
      </c>
      <c r="AY1" s="1" t="s">
        <v>514</v>
      </c>
      <c r="AZ1" s="1">
        <v>965</v>
      </c>
      <c r="BA1" s="1" t="s">
        <v>396</v>
      </c>
      <c r="BB1" s="1" t="s">
        <v>426</v>
      </c>
      <c r="BC1" s="1" t="s">
        <v>440</v>
      </c>
      <c r="BD1" s="1">
        <v>95</v>
      </c>
      <c r="BE1" s="1">
        <v>97</v>
      </c>
      <c r="BF1" s="1" t="s">
        <v>464</v>
      </c>
      <c r="BG1" s="1" t="s">
        <v>472</v>
      </c>
      <c r="BH1" s="1" t="s">
        <v>478</v>
      </c>
      <c r="BI1" s="1">
        <v>32</v>
      </c>
      <c r="BJ1" s="1" t="s">
        <v>488</v>
      </c>
      <c r="BK1" s="1">
        <v>92</v>
      </c>
      <c r="BL1" s="1" t="s">
        <v>513</v>
      </c>
      <c r="BM1" s="1">
        <v>925</v>
      </c>
      <c r="BN1" s="1" t="s">
        <v>574</v>
      </c>
      <c r="BO1" s="1" t="s">
        <v>582</v>
      </c>
      <c r="BP1" s="1" t="s">
        <v>573</v>
      </c>
      <c r="BQ1" s="1" t="s">
        <v>595</v>
      </c>
      <c r="BR1" s="1" t="s">
        <v>608</v>
      </c>
      <c r="BS1" s="17" t="s">
        <v>684</v>
      </c>
      <c r="BT1" s="1" t="s">
        <v>628</v>
      </c>
      <c r="BU1" s="1" t="s">
        <v>662</v>
      </c>
      <c r="BV1" s="1" t="s">
        <v>682</v>
      </c>
      <c r="BW1" s="1" t="s">
        <v>689</v>
      </c>
      <c r="BX1" s="1">
        <v>960</v>
      </c>
      <c r="BY1" s="1" t="s">
        <v>713</v>
      </c>
      <c r="BZ1" s="1">
        <v>9110</v>
      </c>
      <c r="CA1" s="1" t="s">
        <v>515</v>
      </c>
      <c r="CB1" s="1" t="s">
        <v>543</v>
      </c>
      <c r="CC1" s="1" t="s">
        <v>552</v>
      </c>
      <c r="CD1" s="1" t="s">
        <v>556</v>
      </c>
      <c r="CE1" s="1" t="s">
        <v>559</v>
      </c>
      <c r="CF1" s="1" t="s">
        <v>563</v>
      </c>
      <c r="CG1" s="1" t="s">
        <v>566</v>
      </c>
      <c r="CH1" s="1" t="s">
        <v>570</v>
      </c>
      <c r="CI1" s="1" t="s">
        <v>983</v>
      </c>
      <c r="CJ1" s="1" t="s">
        <v>634</v>
      </c>
      <c r="CK1" s="1" t="s">
        <v>645</v>
      </c>
      <c r="CL1" s="1" t="s">
        <v>653</v>
      </c>
      <c r="CM1" s="1" t="s">
        <v>659</v>
      </c>
      <c r="CN1" s="1" t="s">
        <v>792</v>
      </c>
      <c r="CO1" s="1" t="s">
        <v>830</v>
      </c>
      <c r="CP1" s="1" t="s">
        <v>864</v>
      </c>
    </row>
    <row r="2" spans="1:94" s="19" customFormat="1" ht="15" customHeight="1" x14ac:dyDescent="0.25">
      <c r="A2" s="18" t="s">
        <v>985</v>
      </c>
      <c r="B2" s="1" t="s">
        <v>9</v>
      </c>
      <c r="C2" s="1" t="s">
        <v>15</v>
      </c>
      <c r="D2" s="1" t="s">
        <v>20</v>
      </c>
      <c r="E2" s="1" t="s">
        <v>27</v>
      </c>
      <c r="F2" s="1" t="s">
        <v>34</v>
      </c>
      <c r="G2" s="1" t="s">
        <v>41</v>
      </c>
      <c r="H2" s="1" t="s">
        <v>46</v>
      </c>
      <c r="I2" s="1" t="s">
        <v>53</v>
      </c>
      <c r="J2" s="1" t="s">
        <v>57</v>
      </c>
      <c r="K2" s="1" t="s">
        <v>62</v>
      </c>
      <c r="L2" s="1" t="s">
        <v>70</v>
      </c>
      <c r="M2" s="1" t="s">
        <v>76</v>
      </c>
      <c r="N2" s="1" t="s">
        <v>81</v>
      </c>
      <c r="O2" s="1" t="s">
        <v>84</v>
      </c>
      <c r="P2" s="1" t="s">
        <v>88</v>
      </c>
      <c r="Q2" s="1" t="s">
        <v>92</v>
      </c>
      <c r="R2" s="1" t="s">
        <v>97</v>
      </c>
      <c r="S2" s="1" t="s">
        <v>105</v>
      </c>
      <c r="T2" s="1" t="s">
        <v>110</v>
      </c>
      <c r="U2" s="1" t="s">
        <v>114</v>
      </c>
      <c r="V2" s="1" t="s">
        <v>119</v>
      </c>
      <c r="W2" s="1" t="s">
        <v>10</v>
      </c>
      <c r="X2" s="1" t="s">
        <v>128</v>
      </c>
      <c r="Y2" s="1" t="s">
        <v>133</v>
      </c>
      <c r="Z2" s="1" t="s">
        <v>139</v>
      </c>
      <c r="AA2" s="1" t="s">
        <v>143</v>
      </c>
      <c r="AB2" s="1" t="s">
        <v>147</v>
      </c>
      <c r="AC2" s="1" t="s">
        <v>150</v>
      </c>
      <c r="AD2" s="1" t="s">
        <v>154</v>
      </c>
      <c r="AE2" s="1" t="s">
        <v>160</v>
      </c>
      <c r="AF2" s="1" t="s">
        <v>166</v>
      </c>
      <c r="AG2" s="1" t="s">
        <v>215</v>
      </c>
      <c r="AH2" s="1" t="s">
        <v>224</v>
      </c>
      <c r="AI2" s="1" t="s">
        <v>230</v>
      </c>
      <c r="AJ2" s="1" t="s">
        <v>234</v>
      </c>
      <c r="AK2" s="1" t="s">
        <v>240</v>
      </c>
      <c r="AL2" s="1" t="s">
        <v>250</v>
      </c>
      <c r="AM2" s="1" t="s">
        <v>259</v>
      </c>
      <c r="AN2" s="1" t="s">
        <v>271</v>
      </c>
      <c r="AO2" s="1" t="s">
        <v>275</v>
      </c>
      <c r="AP2" s="1" t="s">
        <v>285</v>
      </c>
      <c r="AQ2" s="1" t="s">
        <v>982</v>
      </c>
      <c r="AR2" s="1" t="s">
        <v>293</v>
      </c>
      <c r="AS2" s="1" t="s">
        <v>297</v>
      </c>
      <c r="AT2" s="1" t="s">
        <v>706</v>
      </c>
      <c r="AU2" s="1" t="s">
        <v>398</v>
      </c>
      <c r="AV2" s="1" t="s">
        <v>397</v>
      </c>
      <c r="AW2" s="1" t="s">
        <v>290</v>
      </c>
      <c r="AX2" s="1" t="s">
        <v>368</v>
      </c>
      <c r="AY2" s="1" t="s">
        <v>389</v>
      </c>
      <c r="AZ2" s="1" t="s">
        <v>391</v>
      </c>
      <c r="BA2" s="1" t="s">
        <v>399</v>
      </c>
      <c r="BB2" s="1" t="s">
        <v>427</v>
      </c>
      <c r="BC2" s="1" t="s">
        <v>441</v>
      </c>
      <c r="BD2" s="1" t="s">
        <v>450</v>
      </c>
      <c r="BE2" s="1" t="s">
        <v>459</v>
      </c>
      <c r="BF2" s="1" t="s">
        <v>465</v>
      </c>
      <c r="BG2" s="1" t="s">
        <v>473</v>
      </c>
      <c r="BH2" s="1" t="s">
        <v>479</v>
      </c>
      <c r="BI2" s="1" t="s">
        <v>485</v>
      </c>
      <c r="BJ2" s="1" t="s">
        <v>489</v>
      </c>
      <c r="BK2" s="1" t="s">
        <v>496</v>
      </c>
      <c r="BL2" s="1" t="s">
        <v>505</v>
      </c>
      <c r="BM2" s="1" t="s">
        <v>509</v>
      </c>
      <c r="BN2" s="1" t="s">
        <v>583</v>
      </c>
      <c r="BO2" s="1" t="s">
        <v>584</v>
      </c>
      <c r="BP2" s="1" t="s">
        <v>575</v>
      </c>
      <c r="BQ2" s="1" t="s">
        <v>596</v>
      </c>
      <c r="BR2" s="1" t="s">
        <v>609</v>
      </c>
      <c r="BS2" s="1" t="s">
        <v>615</v>
      </c>
      <c r="BT2" s="1" t="s">
        <v>629</v>
      </c>
      <c r="BU2" s="1" t="s">
        <v>663</v>
      </c>
      <c r="BV2" s="1" t="s">
        <v>683</v>
      </c>
      <c r="BW2" s="1" t="s">
        <v>690</v>
      </c>
      <c r="BX2" s="1" t="s">
        <v>694</v>
      </c>
      <c r="BY2" s="1" t="s">
        <v>714</v>
      </c>
      <c r="BZ2" s="1" t="s">
        <v>264</v>
      </c>
      <c r="CA2" s="1" t="s">
        <v>516</v>
      </c>
      <c r="CB2" s="1" t="s">
        <v>544</v>
      </c>
      <c r="CC2" s="1" t="s">
        <v>553</v>
      </c>
      <c r="CD2" s="1" t="s">
        <v>557</v>
      </c>
      <c r="CE2" s="1" t="s">
        <v>560</v>
      </c>
      <c r="CF2" s="1" t="s">
        <v>564</v>
      </c>
      <c r="CG2" s="1" t="s">
        <v>567</v>
      </c>
      <c r="CH2" s="1" t="s">
        <v>791</v>
      </c>
      <c r="CI2" s="1" t="s">
        <v>601</v>
      </c>
      <c r="CJ2" s="1" t="s">
        <v>635</v>
      </c>
      <c r="CK2" s="1" t="s">
        <v>646</v>
      </c>
      <c r="CL2" s="1" t="s">
        <v>654</v>
      </c>
      <c r="CM2" s="1" t="s">
        <v>660</v>
      </c>
      <c r="CN2" s="1" t="s">
        <v>793</v>
      </c>
      <c r="CO2" s="1" t="s">
        <v>829</v>
      </c>
      <c r="CP2" s="1" t="s">
        <v>865</v>
      </c>
    </row>
    <row r="3" spans="1:94" s="19" customFormat="1" ht="15" customHeight="1" x14ac:dyDescent="0.25">
      <c r="A3" s="18" t="s">
        <v>986</v>
      </c>
      <c r="B3" s="1" t="s">
        <v>707</v>
      </c>
      <c r="C3" s="1" t="s">
        <v>707</v>
      </c>
      <c r="D3" s="1" t="s">
        <v>707</v>
      </c>
      <c r="E3" s="1" t="s">
        <v>707</v>
      </c>
      <c r="F3" s="1" t="s">
        <v>707</v>
      </c>
      <c r="G3" s="1" t="s">
        <v>707</v>
      </c>
      <c r="H3" s="1" t="s">
        <v>707</v>
      </c>
      <c r="I3" s="1" t="s">
        <v>707</v>
      </c>
      <c r="J3" s="1" t="s">
        <v>707</v>
      </c>
      <c r="K3" s="1" t="s">
        <v>707</v>
      </c>
      <c r="L3" s="1" t="s">
        <v>707</v>
      </c>
      <c r="M3" s="1" t="s">
        <v>707</v>
      </c>
      <c r="N3" s="1" t="s">
        <v>707</v>
      </c>
      <c r="O3" s="1" t="s">
        <v>707</v>
      </c>
      <c r="P3" s="1" t="s">
        <v>707</v>
      </c>
      <c r="Q3" s="1" t="s">
        <v>707</v>
      </c>
      <c r="R3" s="1" t="s">
        <v>707</v>
      </c>
      <c r="S3" s="1" t="s">
        <v>707</v>
      </c>
      <c r="T3" s="1" t="s">
        <v>707</v>
      </c>
      <c r="U3" s="1" t="s">
        <v>707</v>
      </c>
      <c r="V3" s="1" t="s">
        <v>707</v>
      </c>
      <c r="W3" s="1" t="s">
        <v>707</v>
      </c>
      <c r="X3" s="1" t="s">
        <v>707</v>
      </c>
      <c r="Y3" s="1" t="s">
        <v>707</v>
      </c>
      <c r="Z3" s="1" t="s">
        <v>707</v>
      </c>
      <c r="AA3" s="1" t="s">
        <v>707</v>
      </c>
      <c r="AB3" s="1" t="s">
        <v>707</v>
      </c>
      <c r="AC3" s="1" t="s">
        <v>707</v>
      </c>
      <c r="AD3" s="1" t="s">
        <v>707</v>
      </c>
      <c r="AE3" s="1" t="s">
        <v>707</v>
      </c>
      <c r="AF3" s="1" t="s">
        <v>707</v>
      </c>
      <c r="AG3" s="1" t="s">
        <v>707</v>
      </c>
      <c r="AH3" s="1" t="s">
        <v>707</v>
      </c>
      <c r="AI3" s="1" t="s">
        <v>707</v>
      </c>
      <c r="AJ3" s="1" t="s">
        <v>707</v>
      </c>
      <c r="AK3" s="1" t="s">
        <v>707</v>
      </c>
      <c r="AL3" s="1" t="s">
        <v>707</v>
      </c>
      <c r="AM3" s="1" t="s">
        <v>707</v>
      </c>
      <c r="AN3" s="1" t="s">
        <v>707</v>
      </c>
      <c r="AO3" s="1" t="s">
        <v>707</v>
      </c>
      <c r="AP3" s="1" t="s">
        <v>707</v>
      </c>
      <c r="AQ3" s="1" t="s">
        <v>707</v>
      </c>
      <c r="AR3" s="1" t="s">
        <v>707</v>
      </c>
      <c r="AS3" s="1" t="s">
        <v>707</v>
      </c>
      <c r="AT3" s="1" t="s">
        <v>707</v>
      </c>
      <c r="AU3" s="1" t="s">
        <v>707</v>
      </c>
      <c r="AV3" s="1" t="s">
        <v>707</v>
      </c>
      <c r="AW3" s="1" t="s">
        <v>707</v>
      </c>
      <c r="AX3" s="1" t="s">
        <v>369</v>
      </c>
      <c r="AY3" s="1" t="s">
        <v>369</v>
      </c>
      <c r="AZ3" s="1" t="s">
        <v>369</v>
      </c>
      <c r="BA3" s="1" t="s">
        <v>369</v>
      </c>
      <c r="BB3" s="1" t="s">
        <v>369</v>
      </c>
      <c r="BC3" s="1" t="s">
        <v>369</v>
      </c>
      <c r="BD3" s="1" t="s">
        <v>369</v>
      </c>
      <c r="BE3" s="1" t="s">
        <v>369</v>
      </c>
      <c r="BF3" s="1" t="s">
        <v>369</v>
      </c>
      <c r="BG3" s="1" t="s">
        <v>369</v>
      </c>
      <c r="BH3" s="1" t="s">
        <v>369</v>
      </c>
      <c r="BI3" s="1" t="s">
        <v>369</v>
      </c>
      <c r="BJ3" s="1" t="s">
        <v>369</v>
      </c>
      <c r="BK3" s="1" t="s">
        <v>369</v>
      </c>
      <c r="BL3" s="1" t="s">
        <v>369</v>
      </c>
      <c r="BM3" s="1" t="s">
        <v>369</v>
      </c>
      <c r="BN3" s="1" t="s">
        <v>369</v>
      </c>
      <c r="BO3" s="1" t="s">
        <v>369</v>
      </c>
      <c r="BP3" s="1" t="s">
        <v>369</v>
      </c>
      <c r="BQ3" s="1" t="s">
        <v>369</v>
      </c>
      <c r="BR3" s="1" t="s">
        <v>369</v>
      </c>
      <c r="BS3" s="1" t="s">
        <v>369</v>
      </c>
      <c r="BT3" s="1" t="s">
        <v>369</v>
      </c>
      <c r="BU3" s="1" t="s">
        <v>369</v>
      </c>
      <c r="BV3" s="1" t="s">
        <v>369</v>
      </c>
      <c r="BW3" s="1" t="s">
        <v>369</v>
      </c>
      <c r="BX3" s="1" t="s">
        <v>369</v>
      </c>
      <c r="BY3" s="1" t="s">
        <v>369</v>
      </c>
      <c r="BZ3" s="1" t="s">
        <v>265</v>
      </c>
      <c r="CA3" s="1" t="s">
        <v>265</v>
      </c>
      <c r="CB3" s="1" t="s">
        <v>265</v>
      </c>
      <c r="CC3" s="1" t="s">
        <v>265</v>
      </c>
      <c r="CD3" s="1" t="s">
        <v>265</v>
      </c>
      <c r="CE3" s="1" t="s">
        <v>265</v>
      </c>
      <c r="CF3" s="1" t="s">
        <v>265</v>
      </c>
      <c r="CG3" s="1" t="s">
        <v>265</v>
      </c>
      <c r="CH3" s="1" t="s">
        <v>265</v>
      </c>
      <c r="CI3" s="1" t="s">
        <v>265</v>
      </c>
      <c r="CJ3" s="1" t="s">
        <v>265</v>
      </c>
      <c r="CK3" s="1" t="s">
        <v>265</v>
      </c>
      <c r="CL3" s="1" t="s">
        <v>265</v>
      </c>
      <c r="CM3" s="1" t="s">
        <v>265</v>
      </c>
      <c r="CN3" s="1" t="s">
        <v>369</v>
      </c>
      <c r="CO3" s="1" t="s">
        <v>369</v>
      </c>
      <c r="CP3" s="1" t="s">
        <v>369</v>
      </c>
    </row>
    <row r="4" spans="1:94" s="19" customFormat="1" ht="15" customHeight="1" x14ac:dyDescent="0.25">
      <c r="A4" s="18" t="s">
        <v>987</v>
      </c>
      <c r="B4" s="1" t="s">
        <v>170</v>
      </c>
      <c r="C4" s="1" t="s">
        <v>171</v>
      </c>
      <c r="D4" s="1" t="s">
        <v>171</v>
      </c>
      <c r="E4" s="1" t="s">
        <v>171</v>
      </c>
      <c r="F4" s="1" t="s">
        <v>172</v>
      </c>
      <c r="G4" s="1" t="s">
        <v>353</v>
      </c>
      <c r="H4" s="1" t="s">
        <v>172</v>
      </c>
      <c r="I4" s="1" t="s">
        <v>172</v>
      </c>
      <c r="J4" s="1" t="s">
        <v>172</v>
      </c>
      <c r="K4" s="1" t="s">
        <v>170</v>
      </c>
      <c r="L4" s="1" t="s">
        <v>170</v>
      </c>
      <c r="M4" s="1" t="s">
        <v>170</v>
      </c>
      <c r="N4" s="1" t="s">
        <v>170</v>
      </c>
      <c r="O4" s="1" t="s">
        <v>170</v>
      </c>
      <c r="P4" s="1" t="s">
        <v>170</v>
      </c>
      <c r="Q4" s="1" t="s">
        <v>170</v>
      </c>
      <c r="R4" s="1" t="s">
        <v>170</v>
      </c>
      <c r="S4" s="1" t="s">
        <v>170</v>
      </c>
      <c r="T4" s="1" t="s">
        <v>170</v>
      </c>
      <c r="U4" s="1" t="s">
        <v>171</v>
      </c>
      <c r="V4" s="1" t="s">
        <v>171</v>
      </c>
      <c r="W4" s="1" t="s">
        <v>171</v>
      </c>
      <c r="X4" s="1" t="s">
        <v>171</v>
      </c>
      <c r="Y4" s="1" t="s">
        <v>171</v>
      </c>
      <c r="Z4" s="1" t="s">
        <v>171</v>
      </c>
      <c r="AA4" s="1" t="s">
        <v>171</v>
      </c>
      <c r="AB4" s="1" t="s">
        <v>171</v>
      </c>
      <c r="AC4" s="1" t="s">
        <v>172</v>
      </c>
      <c r="AD4" s="1" t="s">
        <v>173</v>
      </c>
      <c r="AE4" s="1" t="s">
        <v>237</v>
      </c>
      <c r="AF4" s="1" t="s">
        <v>173</v>
      </c>
      <c r="AG4" s="1" t="s">
        <v>173</v>
      </c>
      <c r="AH4" s="1" t="s">
        <v>173</v>
      </c>
      <c r="AI4" s="1" t="s">
        <v>173</v>
      </c>
      <c r="AJ4" s="1" t="s">
        <v>173</v>
      </c>
      <c r="AK4" s="1" t="s">
        <v>173</v>
      </c>
      <c r="AL4" s="1" t="s">
        <v>173</v>
      </c>
      <c r="AM4" s="1" t="s">
        <v>173</v>
      </c>
      <c r="AN4" s="1" t="s">
        <v>173</v>
      </c>
      <c r="AO4" s="1" t="s">
        <v>237</v>
      </c>
      <c r="AP4" s="1" t="s">
        <v>237</v>
      </c>
      <c r="AQ4" s="1" t="s">
        <v>173</v>
      </c>
      <c r="AR4" s="1" t="s">
        <v>172</v>
      </c>
      <c r="AS4" s="1" t="s">
        <v>171</v>
      </c>
      <c r="AT4" s="1" t="s">
        <v>172</v>
      </c>
      <c r="AU4" s="1" t="s">
        <v>352</v>
      </c>
      <c r="AV4" s="1" t="s">
        <v>352</v>
      </c>
      <c r="AW4" s="1" t="s">
        <v>353</v>
      </c>
      <c r="AX4" s="1" t="s">
        <v>370</v>
      </c>
      <c r="AY4" s="1" t="s">
        <v>370</v>
      </c>
      <c r="AZ4" s="1" t="s">
        <v>370</v>
      </c>
      <c r="BA4" s="1" t="s">
        <v>170</v>
      </c>
      <c r="BB4" s="1" t="s">
        <v>170</v>
      </c>
      <c r="BC4" s="1" t="s">
        <v>170</v>
      </c>
      <c r="BD4" s="1" t="s">
        <v>170</v>
      </c>
      <c r="BE4" s="1" t="s">
        <v>170</v>
      </c>
      <c r="BF4" s="1" t="s">
        <v>170</v>
      </c>
      <c r="BG4" s="1" t="s">
        <v>170</v>
      </c>
      <c r="BH4" s="1" t="s">
        <v>171</v>
      </c>
      <c r="BI4" s="1" t="s">
        <v>171</v>
      </c>
      <c r="BJ4" s="1" t="s">
        <v>171</v>
      </c>
      <c r="BK4" s="1" t="s">
        <v>171</v>
      </c>
      <c r="BL4" s="1" t="s">
        <v>171</v>
      </c>
      <c r="BM4" s="1" t="s">
        <v>171</v>
      </c>
      <c r="BN4" s="1" t="s">
        <v>173</v>
      </c>
      <c r="BO4" s="1" t="s">
        <v>173</v>
      </c>
      <c r="BP4" s="1" t="s">
        <v>173</v>
      </c>
      <c r="BQ4" s="1" t="s">
        <v>173</v>
      </c>
      <c r="BR4" s="1" t="s">
        <v>173</v>
      </c>
      <c r="BS4" s="1" t="s">
        <v>173</v>
      </c>
      <c r="BT4" s="1" t="s">
        <v>173</v>
      </c>
      <c r="BU4" s="1" t="s">
        <v>173</v>
      </c>
      <c r="BV4" s="1" t="s">
        <v>173</v>
      </c>
      <c r="BW4" s="1" t="s">
        <v>173</v>
      </c>
      <c r="BX4" s="1" t="s">
        <v>173</v>
      </c>
      <c r="BY4" s="1" t="s">
        <v>352</v>
      </c>
      <c r="BZ4" s="1" t="s">
        <v>173</v>
      </c>
      <c r="CA4" s="1" t="s">
        <v>173</v>
      </c>
      <c r="CB4" s="1" t="s">
        <v>173</v>
      </c>
      <c r="CC4" s="1" t="s">
        <v>173</v>
      </c>
      <c r="CD4" s="1" t="s">
        <v>173</v>
      </c>
      <c r="CE4" s="1" t="s">
        <v>173</v>
      </c>
      <c r="CF4" s="1" t="s">
        <v>173</v>
      </c>
      <c r="CG4" s="1" t="s">
        <v>173</v>
      </c>
      <c r="CH4" s="1" t="s">
        <v>173</v>
      </c>
      <c r="CI4" s="1" t="s">
        <v>173</v>
      </c>
      <c r="CJ4" s="1" t="s">
        <v>173</v>
      </c>
      <c r="CK4" s="1" t="s">
        <v>173</v>
      </c>
      <c r="CL4" s="1" t="s">
        <v>173</v>
      </c>
      <c r="CM4" s="1" t="s">
        <v>173</v>
      </c>
      <c r="CN4" s="1" t="s">
        <v>794</v>
      </c>
      <c r="CO4" s="1" t="s">
        <v>794</v>
      </c>
      <c r="CP4" s="1" t="s">
        <v>794</v>
      </c>
    </row>
    <row r="5" spans="1:94" s="19" customFormat="1" ht="15" customHeight="1" x14ac:dyDescent="0.25">
      <c r="A5" s="18" t="s">
        <v>988</v>
      </c>
      <c r="B5" s="1" t="s">
        <v>8</v>
      </c>
      <c r="C5" s="1" t="s">
        <v>16</v>
      </c>
      <c r="D5" s="1" t="s">
        <v>21</v>
      </c>
      <c r="E5" s="1" t="s">
        <v>28</v>
      </c>
      <c r="F5" s="1" t="s">
        <v>302</v>
      </c>
      <c r="G5" s="1" t="s">
        <v>43</v>
      </c>
      <c r="H5" s="1" t="s">
        <v>47</v>
      </c>
      <c r="I5" s="1" t="s">
        <v>54</v>
      </c>
      <c r="J5" s="1" t="s">
        <v>59</v>
      </c>
      <c r="K5" s="1" t="s">
        <v>64</v>
      </c>
      <c r="L5" s="1" t="s">
        <v>64</v>
      </c>
      <c r="M5" s="1" t="s">
        <v>77</v>
      </c>
      <c r="N5" s="1" t="s">
        <v>82</v>
      </c>
      <c r="O5" s="1" t="s">
        <v>85</v>
      </c>
      <c r="P5" s="1" t="s">
        <v>90</v>
      </c>
      <c r="Q5" s="1" t="s">
        <v>168</v>
      </c>
      <c r="R5" s="1" t="s">
        <v>99</v>
      </c>
      <c r="S5" s="1" t="s">
        <v>106</v>
      </c>
      <c r="T5" s="1" t="s">
        <v>111</v>
      </c>
      <c r="U5" s="1" t="s">
        <v>115</v>
      </c>
      <c r="V5" s="1" t="s">
        <v>120</v>
      </c>
      <c r="W5" s="1" t="s">
        <v>0</v>
      </c>
      <c r="X5" s="1" t="s">
        <v>129</v>
      </c>
      <c r="Y5" s="1" t="s">
        <v>134</v>
      </c>
      <c r="Z5" s="1" t="s">
        <v>140</v>
      </c>
      <c r="AA5" s="1" t="s">
        <v>144</v>
      </c>
      <c r="AB5" s="1" t="s">
        <v>148</v>
      </c>
      <c r="AC5" s="1" t="s">
        <v>151</v>
      </c>
      <c r="AD5" s="1" t="s">
        <v>155</v>
      </c>
      <c r="AE5" s="1" t="s">
        <v>161</v>
      </c>
      <c r="AF5" s="1" t="s">
        <v>288</v>
      </c>
      <c r="AG5" s="1" t="s">
        <v>216</v>
      </c>
      <c r="AH5" s="1" t="s">
        <v>225</v>
      </c>
      <c r="AI5" s="1" t="s">
        <v>231</v>
      </c>
      <c r="AJ5" s="1" t="s">
        <v>235</v>
      </c>
      <c r="AK5" s="1" t="s">
        <v>241</v>
      </c>
      <c r="AL5" s="1" t="s">
        <v>251</v>
      </c>
      <c r="AM5" s="1" t="s">
        <v>260</v>
      </c>
      <c r="AN5" s="1" t="s">
        <v>272</v>
      </c>
      <c r="AO5" s="1" t="s">
        <v>276</v>
      </c>
      <c r="AP5" s="1" t="s">
        <v>286</v>
      </c>
      <c r="AQ5" s="1" t="s">
        <v>288</v>
      </c>
      <c r="AR5" s="1" t="s">
        <v>294</v>
      </c>
      <c r="AS5" s="1" t="s">
        <v>298</v>
      </c>
      <c r="AT5" s="1" t="s">
        <v>708</v>
      </c>
      <c r="AU5" s="1" t="s">
        <v>360</v>
      </c>
      <c r="AV5" s="1" t="s">
        <v>354</v>
      </c>
      <c r="AW5" s="1" t="s">
        <v>291</v>
      </c>
      <c r="AX5" s="1" t="s">
        <v>388</v>
      </c>
      <c r="AY5" s="1" t="s">
        <v>390</v>
      </c>
      <c r="AZ5" s="1" t="s">
        <v>392</v>
      </c>
      <c r="BA5" s="1" t="s">
        <v>400</v>
      </c>
      <c r="BB5" s="1" t="s">
        <v>428</v>
      </c>
      <c r="BC5" s="1" t="s">
        <v>428</v>
      </c>
      <c r="BD5" s="1" t="s">
        <v>451</v>
      </c>
      <c r="BE5" s="1" t="s">
        <v>460</v>
      </c>
      <c r="BF5" s="1" t="s">
        <v>468</v>
      </c>
      <c r="BG5" s="1" t="s">
        <v>474</v>
      </c>
      <c r="BH5" s="1" t="s">
        <v>480</v>
      </c>
      <c r="BI5" s="1" t="s">
        <v>486</v>
      </c>
      <c r="BJ5" s="2" t="s">
        <v>490</v>
      </c>
      <c r="BK5" s="1" t="s">
        <v>497</v>
      </c>
      <c r="BL5" s="1" t="s">
        <v>506</v>
      </c>
      <c r="BM5" s="1" t="s">
        <v>510</v>
      </c>
      <c r="BN5" s="1" t="s">
        <v>576</v>
      </c>
      <c r="BO5" s="1" t="s">
        <v>585</v>
      </c>
      <c r="BP5" s="1" t="s">
        <v>585</v>
      </c>
      <c r="BQ5" s="1" t="s">
        <v>597</v>
      </c>
      <c r="BR5" s="1" t="s">
        <v>610</v>
      </c>
      <c r="BS5" s="1" t="s">
        <v>616</v>
      </c>
      <c r="BT5" s="1" t="s">
        <v>616</v>
      </c>
      <c r="BU5" s="1" t="s">
        <v>664</v>
      </c>
      <c r="BV5" s="1" t="s">
        <v>685</v>
      </c>
      <c r="BW5" s="1" t="s">
        <v>685</v>
      </c>
      <c r="BX5" s="1" t="s">
        <v>695</v>
      </c>
      <c r="BY5" s="1" t="s">
        <v>715</v>
      </c>
      <c r="BZ5" s="1" t="s">
        <v>266</v>
      </c>
      <c r="CA5" s="1" t="s">
        <v>517</v>
      </c>
      <c r="CB5" s="1" t="s">
        <v>517</v>
      </c>
      <c r="CC5" s="1" t="s">
        <v>554</v>
      </c>
      <c r="CD5" s="1" t="s">
        <v>554</v>
      </c>
      <c r="CE5" s="1" t="s">
        <v>554</v>
      </c>
      <c r="CF5" s="1" t="s">
        <v>554</v>
      </c>
      <c r="CG5" s="1" t="s">
        <v>554</v>
      </c>
      <c r="CH5" s="1" t="s">
        <v>554</v>
      </c>
      <c r="CI5" s="1" t="s">
        <v>554</v>
      </c>
      <c r="CJ5" s="1" t="s">
        <v>554</v>
      </c>
      <c r="CK5" s="1" t="s">
        <v>554</v>
      </c>
      <c r="CL5" s="1" t="s">
        <v>554</v>
      </c>
      <c r="CM5" s="1" t="s">
        <v>554</v>
      </c>
      <c r="CN5" s="1" t="s">
        <v>795</v>
      </c>
      <c r="CO5" s="1" t="s">
        <v>831</v>
      </c>
      <c r="CP5" s="1" t="s">
        <v>839</v>
      </c>
    </row>
    <row r="6" spans="1:94" s="19" customFormat="1" ht="15" customHeight="1" x14ac:dyDescent="0.25">
      <c r="A6" s="18" t="s">
        <v>989</v>
      </c>
      <c r="B6" s="1" t="s">
        <v>11</v>
      </c>
      <c r="C6" s="1" t="s">
        <v>17</v>
      </c>
      <c r="D6" s="1" t="s">
        <v>18</v>
      </c>
      <c r="E6" s="1" t="s">
        <v>29</v>
      </c>
      <c r="F6" s="1" t="s">
        <v>35</v>
      </c>
      <c r="G6" s="1" t="s">
        <v>42</v>
      </c>
      <c r="H6" s="1" t="s">
        <v>48</v>
      </c>
      <c r="I6" s="1" t="s">
        <v>55</v>
      </c>
      <c r="J6" s="1" t="s">
        <v>58</v>
      </c>
      <c r="K6" s="1" t="s">
        <v>65</v>
      </c>
      <c r="L6" s="1" t="s">
        <v>71</v>
      </c>
      <c r="M6" s="1" t="s">
        <v>78</v>
      </c>
      <c r="N6" s="1" t="s">
        <v>80</v>
      </c>
      <c r="O6" s="1" t="s">
        <v>86</v>
      </c>
      <c r="P6" s="1" t="s">
        <v>89</v>
      </c>
      <c r="Q6" s="1" t="s">
        <v>93</v>
      </c>
      <c r="R6" s="1" t="s">
        <v>98</v>
      </c>
      <c r="S6" s="1" t="s">
        <v>107</v>
      </c>
      <c r="T6" s="1" t="s">
        <v>112</v>
      </c>
      <c r="U6" s="1" t="s">
        <v>116</v>
      </c>
      <c r="V6" s="1" t="s">
        <v>121</v>
      </c>
      <c r="W6" s="1" t="s">
        <v>7</v>
      </c>
      <c r="X6" s="1" t="s">
        <v>130</v>
      </c>
      <c r="Y6" s="1" t="s">
        <v>135</v>
      </c>
      <c r="Z6" s="1" t="s">
        <v>141</v>
      </c>
      <c r="AA6" s="1" t="s">
        <v>145</v>
      </c>
      <c r="AB6" s="1" t="s">
        <v>149</v>
      </c>
      <c r="AC6" s="1" t="s">
        <v>152</v>
      </c>
      <c r="AD6" s="1" t="s">
        <v>156</v>
      </c>
      <c r="AE6" s="1" t="s">
        <v>162</v>
      </c>
      <c r="AF6" s="1" t="s">
        <v>167</v>
      </c>
      <c r="AG6" s="1" t="s">
        <v>217</v>
      </c>
      <c r="AH6" s="1" t="s">
        <v>226</v>
      </c>
      <c r="AI6" s="1" t="s">
        <v>232</v>
      </c>
      <c r="AJ6" s="1" t="s">
        <v>236</v>
      </c>
      <c r="AK6" s="1" t="s">
        <v>242</v>
      </c>
      <c r="AL6" s="1" t="s">
        <v>252</v>
      </c>
      <c r="AM6" s="1" t="s">
        <v>261</v>
      </c>
      <c r="AN6" s="1" t="s">
        <v>273</v>
      </c>
      <c r="AO6" s="1" t="s">
        <v>277</v>
      </c>
      <c r="AP6" s="1" t="s">
        <v>287</v>
      </c>
      <c r="AQ6" s="1" t="s">
        <v>289</v>
      </c>
      <c r="AR6" s="1" t="s">
        <v>295</v>
      </c>
      <c r="AS6" s="1" t="s">
        <v>299</v>
      </c>
      <c r="AT6" s="1" t="s">
        <v>709</v>
      </c>
      <c r="AU6" s="1" t="s">
        <v>361</v>
      </c>
      <c r="AV6" s="1" t="s">
        <v>355</v>
      </c>
      <c r="AW6" s="1" t="s">
        <v>292</v>
      </c>
      <c r="AX6" s="1" t="s">
        <v>371</v>
      </c>
      <c r="AY6" s="1" t="s">
        <v>371</v>
      </c>
      <c r="AZ6" s="1" t="s">
        <v>393</v>
      </c>
      <c r="BA6" s="1" t="s">
        <v>401</v>
      </c>
      <c r="BB6" s="1" t="s">
        <v>429</v>
      </c>
      <c r="BC6" s="1" t="s">
        <v>442</v>
      </c>
      <c r="BD6" s="1" t="s">
        <v>452</v>
      </c>
      <c r="BE6" s="1" t="s">
        <v>461</v>
      </c>
      <c r="BF6" s="1" t="s">
        <v>469</v>
      </c>
      <c r="BG6" s="1" t="s">
        <v>475</v>
      </c>
      <c r="BH6" s="1" t="s">
        <v>481</v>
      </c>
      <c r="BI6" s="1" t="s">
        <v>487</v>
      </c>
      <c r="BJ6" s="1" t="s">
        <v>491</v>
      </c>
      <c r="BK6" s="1" t="s">
        <v>498</v>
      </c>
      <c r="BL6" s="1" t="s">
        <v>507</v>
      </c>
      <c r="BM6" s="1" t="s">
        <v>511</v>
      </c>
      <c r="BN6" s="1" t="s">
        <v>577</v>
      </c>
      <c r="BO6" s="1" t="s">
        <v>586</v>
      </c>
      <c r="BP6" s="1" t="s">
        <v>589</v>
      </c>
      <c r="BQ6" s="1" t="s">
        <v>598</v>
      </c>
      <c r="BR6" s="1" t="s">
        <v>612</v>
      </c>
      <c r="BS6" s="1" t="s">
        <v>617</v>
      </c>
      <c r="BT6" s="1" t="s">
        <v>630</v>
      </c>
      <c r="BU6" s="1" t="s">
        <v>665</v>
      </c>
      <c r="BV6" s="1" t="s">
        <v>686</v>
      </c>
      <c r="BW6" s="1" t="s">
        <v>691</v>
      </c>
      <c r="BX6" s="1" t="s">
        <v>696</v>
      </c>
      <c r="BY6" s="1" t="s">
        <v>716</v>
      </c>
      <c r="BZ6" s="1" t="s">
        <v>267</v>
      </c>
      <c r="CA6" s="1" t="s">
        <v>518</v>
      </c>
      <c r="CB6" s="1" t="s">
        <v>518</v>
      </c>
      <c r="CC6" s="1" t="s">
        <v>555</v>
      </c>
      <c r="CD6" s="1" t="s">
        <v>558</v>
      </c>
      <c r="CE6" s="1" t="s">
        <v>561</v>
      </c>
      <c r="CF6" s="1" t="s">
        <v>565</v>
      </c>
      <c r="CG6" s="1" t="s">
        <v>568</v>
      </c>
      <c r="CH6" s="1" t="s">
        <v>571</v>
      </c>
      <c r="CI6" s="1" t="s">
        <v>602</v>
      </c>
      <c r="CJ6" s="1" t="s">
        <v>636</v>
      </c>
      <c r="CK6" s="1" t="s">
        <v>647</v>
      </c>
      <c r="CL6" s="1" t="s">
        <v>655</v>
      </c>
      <c r="CM6" s="1" t="s">
        <v>661</v>
      </c>
      <c r="CN6" s="1" t="s">
        <v>796</v>
      </c>
      <c r="CO6" s="1" t="s">
        <v>832</v>
      </c>
      <c r="CP6" s="1" t="s">
        <v>840</v>
      </c>
    </row>
    <row r="7" spans="1:94" s="19" customFormat="1" ht="15" customHeight="1" x14ac:dyDescent="0.25">
      <c r="A7" s="18" t="s">
        <v>990</v>
      </c>
      <c r="B7" s="3">
        <v>44348</v>
      </c>
      <c r="C7" s="3">
        <v>44348</v>
      </c>
      <c r="D7" s="3">
        <v>44348</v>
      </c>
      <c r="E7" s="3">
        <v>44348</v>
      </c>
      <c r="F7" s="3">
        <v>44348</v>
      </c>
      <c r="G7" s="3">
        <v>44348</v>
      </c>
      <c r="H7" s="3">
        <v>44348</v>
      </c>
      <c r="I7" s="3">
        <v>44348</v>
      </c>
      <c r="J7" s="3">
        <v>44348</v>
      </c>
      <c r="K7" s="3">
        <v>44348</v>
      </c>
      <c r="L7" s="3">
        <v>44348</v>
      </c>
      <c r="M7" s="3">
        <v>44348</v>
      </c>
      <c r="N7" s="3">
        <v>44348</v>
      </c>
      <c r="O7" s="3">
        <v>44348</v>
      </c>
      <c r="P7" s="3">
        <v>44348</v>
      </c>
      <c r="Q7" s="3">
        <v>44348</v>
      </c>
      <c r="R7" s="3">
        <v>44456</v>
      </c>
      <c r="S7" s="3">
        <v>44729</v>
      </c>
      <c r="T7" s="3">
        <v>44348</v>
      </c>
      <c r="U7" s="3">
        <v>44348</v>
      </c>
      <c r="V7" s="3">
        <v>44348</v>
      </c>
      <c r="W7" s="3">
        <v>44348</v>
      </c>
      <c r="X7" s="3">
        <v>44348</v>
      </c>
      <c r="Y7" s="3">
        <v>44348</v>
      </c>
      <c r="Z7" s="3">
        <v>44592</v>
      </c>
      <c r="AA7" s="3">
        <v>44348</v>
      </c>
      <c r="AB7" s="3">
        <v>44348</v>
      </c>
      <c r="AC7" s="3">
        <v>44580</v>
      </c>
      <c r="AD7" s="3">
        <v>44348</v>
      </c>
      <c r="AE7" s="3">
        <v>44348</v>
      </c>
      <c r="AF7" s="3">
        <v>44348</v>
      </c>
      <c r="AG7" s="3">
        <v>44348</v>
      </c>
      <c r="AH7" s="3">
        <v>44348</v>
      </c>
      <c r="AI7" s="3">
        <v>44348</v>
      </c>
      <c r="AJ7" s="3">
        <v>44348</v>
      </c>
      <c r="AK7" s="3">
        <v>45429</v>
      </c>
      <c r="AL7" s="3">
        <v>44348</v>
      </c>
      <c r="AM7" s="3">
        <v>44456</v>
      </c>
      <c r="AN7" s="3">
        <v>45734</v>
      </c>
      <c r="AO7" s="3">
        <v>44348</v>
      </c>
      <c r="AP7" s="3">
        <v>44348</v>
      </c>
      <c r="AQ7" s="3">
        <v>44642</v>
      </c>
      <c r="AR7" s="3">
        <v>44348</v>
      </c>
      <c r="AS7" s="3">
        <v>44348</v>
      </c>
      <c r="AT7" s="3">
        <v>44348</v>
      </c>
      <c r="AU7" s="3">
        <v>44348</v>
      </c>
      <c r="AV7" s="3">
        <v>44348</v>
      </c>
      <c r="AW7" s="3">
        <v>44348</v>
      </c>
      <c r="AX7" s="3">
        <v>44348</v>
      </c>
      <c r="AY7" s="3">
        <v>44348</v>
      </c>
      <c r="AZ7" s="3">
        <v>44348</v>
      </c>
      <c r="BA7" s="3">
        <v>44698</v>
      </c>
      <c r="BB7" s="3">
        <v>45695</v>
      </c>
      <c r="BC7" s="3">
        <v>45862</v>
      </c>
      <c r="BD7" s="3">
        <v>44348</v>
      </c>
      <c r="BE7" s="3">
        <v>44348</v>
      </c>
      <c r="BF7" s="3">
        <v>44348</v>
      </c>
      <c r="BG7" s="3">
        <v>44348</v>
      </c>
      <c r="BH7" s="3">
        <v>44348</v>
      </c>
      <c r="BI7" s="3">
        <v>44348</v>
      </c>
      <c r="BJ7" s="3">
        <v>44348</v>
      </c>
      <c r="BK7" s="3">
        <v>44945</v>
      </c>
      <c r="BL7" s="3">
        <v>44945</v>
      </c>
      <c r="BM7" s="3">
        <v>44348</v>
      </c>
      <c r="BN7" s="3">
        <v>44348</v>
      </c>
      <c r="BO7" s="3">
        <v>44348</v>
      </c>
      <c r="BP7" s="3">
        <v>45089</v>
      </c>
      <c r="BQ7" s="3">
        <v>44348</v>
      </c>
      <c r="BR7" s="3">
        <v>45552</v>
      </c>
      <c r="BS7" s="3">
        <v>44348</v>
      </c>
      <c r="BT7" s="3">
        <v>44348</v>
      </c>
      <c r="BU7" s="3">
        <v>44900</v>
      </c>
      <c r="BV7" s="3">
        <v>44518</v>
      </c>
      <c r="BW7" s="3">
        <v>44518</v>
      </c>
      <c r="BX7" s="3">
        <v>44348</v>
      </c>
      <c r="BY7" s="3">
        <v>45100</v>
      </c>
      <c r="BZ7" s="3">
        <v>45750</v>
      </c>
      <c r="CA7" s="3">
        <v>44348</v>
      </c>
      <c r="CB7" s="3">
        <v>44348</v>
      </c>
      <c r="CC7" s="3">
        <v>44348</v>
      </c>
      <c r="CD7" s="3">
        <v>44650</v>
      </c>
      <c r="CE7" s="3">
        <v>44650</v>
      </c>
      <c r="CF7" s="3">
        <v>44348</v>
      </c>
      <c r="CG7" s="3">
        <v>44348</v>
      </c>
      <c r="CH7" s="3">
        <v>44348</v>
      </c>
      <c r="CI7" s="3">
        <v>44348</v>
      </c>
      <c r="CJ7" s="3">
        <v>44348</v>
      </c>
      <c r="CK7" s="3">
        <v>44650</v>
      </c>
      <c r="CL7" s="3">
        <v>44348</v>
      </c>
      <c r="CM7" s="3">
        <v>44518</v>
      </c>
      <c r="CN7" s="3">
        <v>44348</v>
      </c>
      <c r="CO7" s="3">
        <v>45461</v>
      </c>
      <c r="CP7" s="3">
        <v>44942</v>
      </c>
    </row>
    <row r="8" spans="1:94" s="4" customFormat="1" ht="15" customHeight="1" x14ac:dyDescent="0.25">
      <c r="A8" s="20" t="s">
        <v>303</v>
      </c>
      <c r="C8" s="4">
        <v>29</v>
      </c>
      <c r="D8" s="4">
        <v>43</v>
      </c>
      <c r="E8" s="4">
        <v>35</v>
      </c>
      <c r="U8" s="4">
        <v>16</v>
      </c>
      <c r="V8" s="4">
        <v>14</v>
      </c>
      <c r="W8" s="4">
        <v>38</v>
      </c>
      <c r="X8" s="4">
        <v>48</v>
      </c>
      <c r="Y8" s="4">
        <v>22</v>
      </c>
      <c r="AG8" s="5"/>
      <c r="AH8" s="5"/>
      <c r="AI8" s="5"/>
      <c r="AJ8" s="5">
        <v>8</v>
      </c>
      <c r="AK8" s="5"/>
      <c r="AL8" s="5"/>
      <c r="AM8" s="5"/>
      <c r="AN8" s="5"/>
      <c r="AO8" s="5"/>
      <c r="AP8" s="5"/>
      <c r="AQ8" s="5"/>
      <c r="AR8" s="5"/>
      <c r="AS8" s="5"/>
      <c r="AT8" s="4">
        <v>20</v>
      </c>
      <c r="AW8" s="5"/>
      <c r="BZ8" s="5"/>
    </row>
    <row r="9" spans="1:94" s="4" customFormat="1" ht="15" customHeight="1" x14ac:dyDescent="0.25">
      <c r="A9" s="21" t="s">
        <v>304</v>
      </c>
      <c r="C9" s="4">
        <v>33</v>
      </c>
      <c r="D9" s="4">
        <v>47</v>
      </c>
      <c r="E9" s="4">
        <v>39</v>
      </c>
      <c r="U9" s="4">
        <v>18</v>
      </c>
      <c r="V9" s="4">
        <v>18</v>
      </c>
      <c r="W9" s="4">
        <v>42</v>
      </c>
      <c r="X9" s="4">
        <v>52</v>
      </c>
      <c r="Y9" s="4">
        <v>25</v>
      </c>
      <c r="AJ9" s="4">
        <v>12</v>
      </c>
      <c r="AT9" s="4">
        <v>30</v>
      </c>
    </row>
    <row r="10" spans="1:94" s="4" customFormat="1" ht="15" customHeight="1" x14ac:dyDescent="0.25">
      <c r="A10" s="21" t="s">
        <v>305</v>
      </c>
      <c r="Z10" s="4">
        <v>38</v>
      </c>
      <c r="AA10" s="4">
        <v>33</v>
      </c>
      <c r="AB10" s="4">
        <v>38</v>
      </c>
    </row>
    <row r="11" spans="1:94" s="4" customFormat="1" ht="15" customHeight="1" x14ac:dyDescent="0.25">
      <c r="A11" s="21" t="s">
        <v>306</v>
      </c>
      <c r="Z11" s="4">
        <v>42</v>
      </c>
      <c r="AA11" s="4">
        <v>37</v>
      </c>
      <c r="AB11" s="4">
        <v>42</v>
      </c>
    </row>
    <row r="12" spans="1:94" s="4" customFormat="1" ht="15" customHeight="1" x14ac:dyDescent="0.25">
      <c r="A12" s="21" t="s">
        <v>339</v>
      </c>
      <c r="Y12" s="4">
        <v>22</v>
      </c>
      <c r="AS12" s="4">
        <v>22</v>
      </c>
      <c r="AU12" s="4">
        <v>9</v>
      </c>
      <c r="AV12" s="4">
        <v>13</v>
      </c>
    </row>
    <row r="13" spans="1:94" s="4" customFormat="1" ht="15" customHeight="1" x14ac:dyDescent="0.25">
      <c r="A13" s="21" t="s">
        <v>340</v>
      </c>
      <c r="Y13" s="4">
        <v>25</v>
      </c>
      <c r="AS13" s="4">
        <v>30</v>
      </c>
      <c r="AU13" s="4">
        <v>14</v>
      </c>
      <c r="AV13" s="4">
        <v>23</v>
      </c>
    </row>
    <row r="14" spans="1:94" s="4" customFormat="1" ht="15" customHeight="1" x14ac:dyDescent="0.25">
      <c r="A14" s="21" t="s">
        <v>307</v>
      </c>
      <c r="B14" s="4">
        <v>53</v>
      </c>
      <c r="C14" s="4">
        <v>29</v>
      </c>
      <c r="K14" s="4">
        <v>58</v>
      </c>
      <c r="L14" s="4">
        <v>58</v>
      </c>
      <c r="M14" s="4">
        <v>45</v>
      </c>
      <c r="N14" s="4">
        <v>58</v>
      </c>
      <c r="O14" s="4">
        <v>60</v>
      </c>
      <c r="P14" s="4">
        <v>58</v>
      </c>
      <c r="Q14" s="4">
        <v>35</v>
      </c>
      <c r="R14" s="4">
        <v>47</v>
      </c>
      <c r="S14" s="4">
        <v>51</v>
      </c>
      <c r="T14" s="4">
        <v>52</v>
      </c>
      <c r="W14" s="4">
        <v>18</v>
      </c>
      <c r="Z14" s="4">
        <v>18</v>
      </c>
    </row>
    <row r="15" spans="1:94" s="4" customFormat="1" ht="15" customHeight="1" x14ac:dyDescent="0.25">
      <c r="A15" s="21" t="s">
        <v>308</v>
      </c>
      <c r="B15" s="4">
        <v>56</v>
      </c>
      <c r="C15" s="4">
        <v>33</v>
      </c>
      <c r="K15" s="4">
        <v>62</v>
      </c>
      <c r="L15" s="4">
        <v>62</v>
      </c>
      <c r="M15" s="4">
        <v>50</v>
      </c>
      <c r="N15" s="4">
        <v>62</v>
      </c>
      <c r="O15" s="4">
        <v>65</v>
      </c>
      <c r="P15" s="4">
        <v>61</v>
      </c>
      <c r="Q15" s="4">
        <v>39</v>
      </c>
      <c r="R15" s="4">
        <v>51</v>
      </c>
      <c r="S15" s="4">
        <v>55</v>
      </c>
      <c r="T15" s="4">
        <v>56</v>
      </c>
      <c r="W15" s="4">
        <v>22</v>
      </c>
      <c r="Z15" s="4">
        <v>22</v>
      </c>
    </row>
    <row r="16" spans="1:94" s="4" customFormat="1" ht="15" customHeight="1" x14ac:dyDescent="0.25">
      <c r="A16" s="21" t="s">
        <v>311</v>
      </c>
      <c r="F16" s="6">
        <v>12</v>
      </c>
      <c r="I16" s="4">
        <v>32</v>
      </c>
      <c r="J16" s="4">
        <v>32</v>
      </c>
      <c r="AR16" s="4">
        <v>29</v>
      </c>
      <c r="AS16" s="4">
        <v>20</v>
      </c>
    </row>
    <row r="17" spans="1:49" s="4" customFormat="1" ht="15" customHeight="1" x14ac:dyDescent="0.25">
      <c r="A17" s="21" t="s">
        <v>312</v>
      </c>
      <c r="F17" s="6">
        <v>16</v>
      </c>
      <c r="I17" s="4">
        <v>36</v>
      </c>
      <c r="J17" s="4">
        <v>36</v>
      </c>
      <c r="AR17" s="4">
        <v>31</v>
      </c>
      <c r="AS17" s="4">
        <v>30</v>
      </c>
    </row>
    <row r="18" spans="1:49" s="4" customFormat="1" ht="15" customHeight="1" x14ac:dyDescent="0.25">
      <c r="A18" s="21" t="s">
        <v>356</v>
      </c>
      <c r="F18" s="6"/>
      <c r="AU18" s="4">
        <v>53</v>
      </c>
      <c r="AV18" s="4">
        <v>77</v>
      </c>
    </row>
    <row r="19" spans="1:49" s="4" customFormat="1" ht="15" customHeight="1" x14ac:dyDescent="0.25">
      <c r="A19" s="21" t="s">
        <v>357</v>
      </c>
      <c r="F19" s="6"/>
      <c r="AU19" s="4">
        <v>58</v>
      </c>
      <c r="AV19" s="4">
        <v>87</v>
      </c>
    </row>
    <row r="20" spans="1:49" s="4" customFormat="1" ht="15" customHeight="1" x14ac:dyDescent="0.25">
      <c r="A20" s="21" t="s">
        <v>343</v>
      </c>
      <c r="F20" s="6">
        <v>10</v>
      </c>
      <c r="AC20" s="4">
        <v>30</v>
      </c>
    </row>
    <row r="21" spans="1:49" s="4" customFormat="1" ht="15" customHeight="1" x14ac:dyDescent="0.25">
      <c r="A21" s="21" t="s">
        <v>344</v>
      </c>
      <c r="F21" s="6">
        <v>14</v>
      </c>
      <c r="AC21" s="4">
        <v>35</v>
      </c>
    </row>
    <row r="22" spans="1:49" s="4" customFormat="1" ht="15" customHeight="1" x14ac:dyDescent="0.25">
      <c r="A22" s="21" t="s">
        <v>313</v>
      </c>
      <c r="H22" s="4">
        <v>58</v>
      </c>
    </row>
    <row r="23" spans="1:49" s="4" customFormat="1" ht="15" customHeight="1" x14ac:dyDescent="0.25">
      <c r="A23" s="21" t="s">
        <v>314</v>
      </c>
      <c r="H23" s="4">
        <v>62</v>
      </c>
    </row>
    <row r="24" spans="1:49" s="4" customFormat="1" ht="15" customHeight="1" x14ac:dyDescent="0.25">
      <c r="A24" s="21" t="s">
        <v>315</v>
      </c>
      <c r="V24" s="4">
        <v>12</v>
      </c>
    </row>
    <row r="25" spans="1:49" s="4" customFormat="1" ht="15" customHeight="1" x14ac:dyDescent="0.25">
      <c r="A25" s="21" t="s">
        <v>316</v>
      </c>
      <c r="V25" s="4">
        <v>16</v>
      </c>
    </row>
    <row r="26" spans="1:49" s="4" customFormat="1" ht="15" customHeight="1" x14ac:dyDescent="0.25">
      <c r="A26" s="21" t="s">
        <v>317</v>
      </c>
      <c r="AW26" s="4">
        <v>53</v>
      </c>
    </row>
    <row r="27" spans="1:49" s="4" customFormat="1" ht="15" customHeight="1" x14ac:dyDescent="0.25">
      <c r="A27" s="21" t="s">
        <v>318</v>
      </c>
      <c r="AW27" s="4">
        <v>53</v>
      </c>
    </row>
    <row r="28" spans="1:49" s="4" customFormat="1" ht="15" customHeight="1" x14ac:dyDescent="0.25">
      <c r="A28" s="21" t="s">
        <v>319</v>
      </c>
      <c r="G28" s="4">
        <v>53</v>
      </c>
      <c r="AW28" s="4">
        <v>47</v>
      </c>
    </row>
    <row r="29" spans="1:49" s="4" customFormat="1" ht="15" customHeight="1" x14ac:dyDescent="0.25">
      <c r="A29" s="21" t="s">
        <v>320</v>
      </c>
      <c r="G29" s="4">
        <v>57</v>
      </c>
      <c r="AW29" s="4">
        <v>47</v>
      </c>
    </row>
    <row r="30" spans="1:49" s="4" customFormat="1" ht="15" customHeight="1" x14ac:dyDescent="0.25">
      <c r="A30" s="21" t="s">
        <v>321</v>
      </c>
      <c r="B30" s="4">
        <v>6</v>
      </c>
      <c r="C30" s="4">
        <v>6</v>
      </c>
      <c r="D30" s="6">
        <v>6</v>
      </c>
      <c r="E30" s="6">
        <v>6</v>
      </c>
      <c r="F30" s="6">
        <v>6</v>
      </c>
      <c r="AF30" s="4">
        <v>65</v>
      </c>
      <c r="AG30" s="4">
        <v>67</v>
      </c>
      <c r="AH30" s="4">
        <v>80</v>
      </c>
      <c r="AI30" s="4">
        <v>85</v>
      </c>
      <c r="AJ30" s="4">
        <v>57</v>
      </c>
      <c r="AK30" s="4">
        <v>65</v>
      </c>
      <c r="AL30" s="4">
        <v>72</v>
      </c>
      <c r="AM30" s="4">
        <v>73</v>
      </c>
      <c r="AN30" s="4">
        <v>72</v>
      </c>
      <c r="AO30" s="4">
        <v>84</v>
      </c>
      <c r="AQ30" s="4">
        <v>62</v>
      </c>
    </row>
    <row r="31" spans="1:49" s="4" customFormat="1" ht="15" customHeight="1" x14ac:dyDescent="0.25">
      <c r="A31" s="21" t="s">
        <v>322</v>
      </c>
      <c r="B31" s="4">
        <v>8</v>
      </c>
      <c r="C31" s="4">
        <v>10</v>
      </c>
      <c r="D31" s="6">
        <v>8</v>
      </c>
      <c r="E31" s="6">
        <v>8</v>
      </c>
      <c r="F31" s="6">
        <v>10</v>
      </c>
      <c r="AF31" s="4">
        <v>70</v>
      </c>
      <c r="AG31" s="4">
        <v>72</v>
      </c>
      <c r="AH31" s="4">
        <v>85</v>
      </c>
      <c r="AI31" s="4">
        <v>90</v>
      </c>
      <c r="AJ31" s="4">
        <v>63</v>
      </c>
      <c r="AK31" s="4">
        <v>70</v>
      </c>
      <c r="AL31" s="4">
        <v>76</v>
      </c>
      <c r="AM31" s="4">
        <v>77</v>
      </c>
      <c r="AN31" s="4">
        <v>76</v>
      </c>
      <c r="AO31" s="4">
        <v>86</v>
      </c>
      <c r="AQ31" s="4">
        <v>64</v>
      </c>
    </row>
    <row r="32" spans="1:49" s="4" customFormat="1" ht="15" customHeight="1" x14ac:dyDescent="0.25">
      <c r="A32" s="21" t="s">
        <v>309</v>
      </c>
      <c r="Q32" s="4">
        <v>23</v>
      </c>
      <c r="R32" s="4">
        <v>22</v>
      </c>
      <c r="S32" s="4">
        <v>23</v>
      </c>
      <c r="U32" s="4">
        <v>16</v>
      </c>
      <c r="AD32" s="4">
        <v>55</v>
      </c>
      <c r="AE32" s="4">
        <v>83</v>
      </c>
      <c r="AP32" s="4">
        <v>95</v>
      </c>
    </row>
    <row r="33" spans="1:78" s="4" customFormat="1" ht="15" customHeight="1" x14ac:dyDescent="0.25">
      <c r="A33" s="21" t="s">
        <v>310</v>
      </c>
      <c r="Q33" s="4">
        <v>27</v>
      </c>
      <c r="R33" s="4">
        <v>26</v>
      </c>
      <c r="S33" s="4">
        <v>27</v>
      </c>
      <c r="U33" s="4">
        <v>18</v>
      </c>
      <c r="AD33" s="4">
        <v>64</v>
      </c>
      <c r="AE33" s="4">
        <v>87</v>
      </c>
      <c r="AP33" s="4">
        <v>95</v>
      </c>
    </row>
    <row r="34" spans="1:78" s="4" customFormat="1" ht="15" customHeight="1" x14ac:dyDescent="0.25">
      <c r="A34" s="21" t="s">
        <v>341</v>
      </c>
      <c r="AD34" s="4">
        <v>10</v>
      </c>
      <c r="AF34" s="4">
        <v>19</v>
      </c>
      <c r="AG34" s="4">
        <v>22</v>
      </c>
      <c r="AK34" s="4">
        <v>19</v>
      </c>
      <c r="AL34" s="4">
        <v>22</v>
      </c>
      <c r="AM34" s="4">
        <v>17</v>
      </c>
      <c r="AN34" s="4">
        <v>25</v>
      </c>
      <c r="AQ34" s="4">
        <v>19</v>
      </c>
      <c r="AU34" s="4">
        <v>5</v>
      </c>
      <c r="AV34" s="4">
        <v>1</v>
      </c>
    </row>
    <row r="35" spans="1:78" s="4" customFormat="1" ht="15" customHeight="1" x14ac:dyDescent="0.25">
      <c r="A35" s="21" t="s">
        <v>342</v>
      </c>
      <c r="AD35" s="4">
        <v>11</v>
      </c>
      <c r="AF35" s="4">
        <v>21</v>
      </c>
      <c r="AG35" s="4">
        <v>24</v>
      </c>
      <c r="AK35" s="4">
        <v>21</v>
      </c>
      <c r="AL35" s="4">
        <v>24</v>
      </c>
      <c r="AM35" s="4">
        <v>19</v>
      </c>
      <c r="AN35" s="4">
        <v>27</v>
      </c>
      <c r="AQ35" s="4">
        <v>21</v>
      </c>
      <c r="AU35" s="4">
        <v>7</v>
      </c>
      <c r="AV35" s="4">
        <v>3</v>
      </c>
    </row>
    <row r="36" spans="1:78" s="4" customFormat="1" ht="15" customHeight="1" x14ac:dyDescent="0.25">
      <c r="A36" s="21" t="s">
        <v>325</v>
      </c>
      <c r="B36" s="4">
        <v>5</v>
      </c>
      <c r="C36" s="4">
        <v>23</v>
      </c>
      <c r="D36" s="4">
        <v>23</v>
      </c>
      <c r="E36" s="4">
        <v>55</v>
      </c>
      <c r="F36" s="4">
        <v>34</v>
      </c>
      <c r="G36" s="4">
        <v>25</v>
      </c>
      <c r="H36" s="4">
        <v>38</v>
      </c>
      <c r="I36" s="4">
        <v>48</v>
      </c>
      <c r="J36" s="4">
        <v>48</v>
      </c>
      <c r="K36" s="4">
        <v>23</v>
      </c>
      <c r="L36" s="4">
        <v>23</v>
      </c>
      <c r="M36" s="4">
        <v>35</v>
      </c>
      <c r="N36" s="4">
        <v>38</v>
      </c>
      <c r="O36" s="4">
        <v>35</v>
      </c>
      <c r="P36" s="4">
        <v>5</v>
      </c>
      <c r="Q36" s="4">
        <v>28</v>
      </c>
      <c r="R36" s="4">
        <v>15</v>
      </c>
      <c r="S36" s="4">
        <v>18</v>
      </c>
      <c r="T36" s="4">
        <v>9</v>
      </c>
      <c r="U36" s="4">
        <v>48</v>
      </c>
      <c r="V36" s="4">
        <v>42</v>
      </c>
      <c r="W36" s="4">
        <v>32</v>
      </c>
      <c r="X36" s="4">
        <v>28</v>
      </c>
      <c r="Y36" s="4">
        <v>24</v>
      </c>
      <c r="Z36" s="4">
        <v>38</v>
      </c>
      <c r="AA36" s="4">
        <v>48</v>
      </c>
      <c r="AB36" s="4">
        <v>58</v>
      </c>
      <c r="AC36" s="4">
        <v>50</v>
      </c>
      <c r="AD36" s="4">
        <v>10</v>
      </c>
      <c r="AE36" s="4">
        <v>4</v>
      </c>
      <c r="AJ36" s="4">
        <v>3</v>
      </c>
      <c r="AK36" s="4">
        <f>5*0.05</f>
        <v>0.25</v>
      </c>
      <c r="AM36" s="4">
        <v>4</v>
      </c>
      <c r="AP36" s="4">
        <v>2.5</v>
      </c>
      <c r="AR36" s="4">
        <v>36</v>
      </c>
      <c r="AS36" s="4">
        <v>30</v>
      </c>
      <c r="BZ36" s="4">
        <v>2</v>
      </c>
    </row>
    <row r="37" spans="1:78" s="4" customFormat="1" ht="15" customHeight="1" x14ac:dyDescent="0.25">
      <c r="A37" s="21" t="s">
        <v>326</v>
      </c>
      <c r="B37" s="4">
        <v>6</v>
      </c>
      <c r="C37" s="4">
        <v>27</v>
      </c>
      <c r="D37" s="4">
        <v>27</v>
      </c>
      <c r="E37" s="4">
        <v>59</v>
      </c>
      <c r="F37" s="4">
        <v>38</v>
      </c>
      <c r="G37" s="4">
        <v>29</v>
      </c>
      <c r="H37" s="4">
        <v>42</v>
      </c>
      <c r="I37" s="4">
        <v>52</v>
      </c>
      <c r="J37" s="4">
        <v>52</v>
      </c>
      <c r="K37" s="4">
        <v>27</v>
      </c>
      <c r="L37" s="4">
        <v>27</v>
      </c>
      <c r="M37" s="4">
        <v>40</v>
      </c>
      <c r="N37" s="4">
        <v>42</v>
      </c>
      <c r="O37" s="4">
        <v>40</v>
      </c>
      <c r="P37" s="4">
        <v>6</v>
      </c>
      <c r="Q37" s="4">
        <v>32</v>
      </c>
      <c r="R37" s="4">
        <v>19</v>
      </c>
      <c r="S37" s="4">
        <v>22</v>
      </c>
      <c r="T37" s="4">
        <v>13</v>
      </c>
      <c r="U37" s="4">
        <v>52</v>
      </c>
      <c r="V37" s="4">
        <v>46</v>
      </c>
      <c r="W37" s="4">
        <v>36</v>
      </c>
      <c r="X37" s="4">
        <v>32</v>
      </c>
      <c r="Y37" s="4">
        <v>28</v>
      </c>
      <c r="Z37" s="4">
        <v>42</v>
      </c>
      <c r="AA37" s="4">
        <v>52</v>
      </c>
      <c r="AB37" s="4">
        <v>62</v>
      </c>
      <c r="AC37" s="4">
        <v>55</v>
      </c>
      <c r="AD37" s="4">
        <v>14</v>
      </c>
      <c r="AE37" s="4">
        <v>6</v>
      </c>
      <c r="AJ37" s="4">
        <v>4</v>
      </c>
      <c r="AK37" s="4">
        <v>0.5</v>
      </c>
      <c r="AM37" s="4">
        <v>6</v>
      </c>
      <c r="AP37" s="4">
        <v>2.5</v>
      </c>
      <c r="AR37" s="4">
        <v>38</v>
      </c>
      <c r="AS37" s="4">
        <v>35</v>
      </c>
      <c r="BZ37" s="4">
        <v>4</v>
      </c>
    </row>
    <row r="38" spans="1:78" s="4" customFormat="1" ht="15" customHeight="1" x14ac:dyDescent="0.25">
      <c r="A38" s="21" t="s">
        <v>327</v>
      </c>
      <c r="B38" s="4">
        <v>18</v>
      </c>
      <c r="P38" s="4">
        <v>18</v>
      </c>
      <c r="T38" s="4">
        <v>17</v>
      </c>
      <c r="V38" s="4">
        <v>10</v>
      </c>
      <c r="AD38" s="6">
        <v>8</v>
      </c>
      <c r="AE38" s="5">
        <v>4</v>
      </c>
      <c r="AF38" s="6">
        <v>5</v>
      </c>
      <c r="AG38" s="4">
        <v>2</v>
      </c>
      <c r="AH38" s="4">
        <v>10</v>
      </c>
      <c r="AI38" s="4">
        <v>8</v>
      </c>
      <c r="AJ38" s="4">
        <v>17</v>
      </c>
      <c r="AK38" s="4">
        <v>5</v>
      </c>
      <c r="AO38" s="4">
        <v>14</v>
      </c>
      <c r="AP38" s="4">
        <v>2.5</v>
      </c>
      <c r="AQ38" s="4">
        <v>13</v>
      </c>
      <c r="AR38" s="4">
        <v>9</v>
      </c>
    </row>
    <row r="39" spans="1:78" s="4" customFormat="1" ht="15" customHeight="1" x14ac:dyDescent="0.25">
      <c r="A39" s="21" t="s">
        <v>328</v>
      </c>
      <c r="B39" s="4">
        <v>22</v>
      </c>
      <c r="P39" s="4">
        <v>22</v>
      </c>
      <c r="T39" s="4">
        <v>21</v>
      </c>
      <c r="V39" s="4">
        <v>14</v>
      </c>
      <c r="AD39" s="6">
        <v>13</v>
      </c>
      <c r="AE39" s="5">
        <v>6</v>
      </c>
      <c r="AF39" s="6">
        <v>10</v>
      </c>
      <c r="AG39" s="4">
        <v>6</v>
      </c>
      <c r="AH39" s="4">
        <v>15</v>
      </c>
      <c r="AI39" s="4">
        <v>12</v>
      </c>
      <c r="AJ39" s="4">
        <v>21</v>
      </c>
      <c r="AK39" s="4">
        <v>10</v>
      </c>
      <c r="AO39" s="4">
        <v>16</v>
      </c>
      <c r="AP39" s="4">
        <v>2.5</v>
      </c>
      <c r="AQ39" s="4">
        <v>17</v>
      </c>
      <c r="AR39" s="4">
        <v>11</v>
      </c>
    </row>
    <row r="40" spans="1:78" s="4" customFormat="1" ht="15" customHeight="1" x14ac:dyDescent="0.25">
      <c r="A40" s="21" t="s">
        <v>329</v>
      </c>
      <c r="C40" s="6">
        <v>4</v>
      </c>
      <c r="D40" s="4">
        <v>16</v>
      </c>
      <c r="F40" s="4">
        <v>16</v>
      </c>
      <c r="G40" s="4">
        <v>16</v>
      </c>
      <c r="M40" s="6">
        <v>12</v>
      </c>
      <c r="U40" s="4">
        <v>14</v>
      </c>
      <c r="V40" s="4">
        <v>7</v>
      </c>
      <c r="W40" s="6">
        <v>4</v>
      </c>
      <c r="X40" s="4">
        <v>15</v>
      </c>
      <c r="Y40" s="4">
        <v>18</v>
      </c>
      <c r="AC40" s="4">
        <v>14</v>
      </c>
      <c r="AR40" s="4">
        <v>21</v>
      </c>
      <c r="AS40" s="4">
        <v>18</v>
      </c>
    </row>
    <row r="41" spans="1:78" s="4" customFormat="1" ht="15" customHeight="1" x14ac:dyDescent="0.25">
      <c r="A41" s="21" t="s">
        <v>330</v>
      </c>
      <c r="C41" s="6">
        <v>8</v>
      </c>
      <c r="D41" s="4">
        <v>20</v>
      </c>
      <c r="F41" s="4">
        <v>20</v>
      </c>
      <c r="G41" s="4">
        <v>20</v>
      </c>
      <c r="M41" s="6">
        <v>15</v>
      </c>
      <c r="U41" s="4">
        <v>18</v>
      </c>
      <c r="V41" s="4">
        <v>11</v>
      </c>
      <c r="W41" s="6">
        <v>8</v>
      </c>
      <c r="X41" s="4">
        <v>20</v>
      </c>
      <c r="Y41" s="4">
        <v>22</v>
      </c>
      <c r="AC41" s="4">
        <v>18</v>
      </c>
      <c r="AR41" s="4">
        <v>23</v>
      </c>
      <c r="AS41" s="4">
        <v>22</v>
      </c>
    </row>
    <row r="42" spans="1:78" s="4" customFormat="1" ht="15" customHeight="1" x14ac:dyDescent="0.25">
      <c r="A42" s="21" t="s">
        <v>331</v>
      </c>
      <c r="B42" s="6">
        <v>8</v>
      </c>
      <c r="I42" s="4">
        <v>14</v>
      </c>
      <c r="J42" s="4">
        <v>14</v>
      </c>
      <c r="P42" s="4">
        <v>13</v>
      </c>
      <c r="Q42" s="4">
        <v>6</v>
      </c>
      <c r="R42" s="4">
        <v>6</v>
      </c>
      <c r="V42" s="4">
        <v>3</v>
      </c>
      <c r="BY42" s="4">
        <v>10</v>
      </c>
    </row>
    <row r="43" spans="1:78" s="4" customFormat="1" ht="15" customHeight="1" x14ac:dyDescent="0.25">
      <c r="A43" s="21" t="s">
        <v>332</v>
      </c>
      <c r="B43" s="6">
        <v>12</v>
      </c>
      <c r="I43" s="4">
        <v>18</v>
      </c>
      <c r="J43" s="4">
        <v>18</v>
      </c>
      <c r="P43" s="4">
        <v>17</v>
      </c>
      <c r="Q43" s="4">
        <v>10</v>
      </c>
      <c r="R43" s="4">
        <v>10</v>
      </c>
      <c r="V43" s="4">
        <v>7</v>
      </c>
      <c r="BY43" s="4">
        <v>10</v>
      </c>
    </row>
    <row r="44" spans="1:78" s="4" customFormat="1" ht="15" customHeight="1" x14ac:dyDescent="0.25">
      <c r="A44" s="21" t="s">
        <v>333</v>
      </c>
      <c r="F44" s="6">
        <v>12</v>
      </c>
      <c r="Y44" s="6">
        <v>4</v>
      </c>
    </row>
    <row r="45" spans="1:78" s="4" customFormat="1" ht="15" customHeight="1" x14ac:dyDescent="0.25">
      <c r="A45" s="21" t="s">
        <v>334</v>
      </c>
      <c r="F45" s="6">
        <v>16</v>
      </c>
      <c r="Y45" s="6">
        <v>8</v>
      </c>
    </row>
    <row r="46" spans="1:78" s="4" customFormat="1" ht="15" customHeight="1" x14ac:dyDescent="0.25">
      <c r="A46" s="21" t="s">
        <v>345</v>
      </c>
      <c r="K46" s="4">
        <v>13</v>
      </c>
      <c r="L46" s="4">
        <v>13</v>
      </c>
    </row>
    <row r="47" spans="1:78" s="4" customFormat="1" ht="15" customHeight="1" x14ac:dyDescent="0.25">
      <c r="A47" s="21" t="s">
        <v>346</v>
      </c>
      <c r="K47" s="4">
        <v>17</v>
      </c>
      <c r="L47" s="4">
        <v>17</v>
      </c>
    </row>
    <row r="48" spans="1:78" s="4" customFormat="1" ht="15" customHeight="1" x14ac:dyDescent="0.25">
      <c r="A48" s="21" t="s">
        <v>335</v>
      </c>
      <c r="T48" s="4">
        <v>13</v>
      </c>
      <c r="AA48" s="4">
        <v>13</v>
      </c>
      <c r="AT48" s="4">
        <v>8</v>
      </c>
    </row>
    <row r="49" spans="1:91" s="4" customFormat="1" ht="15" customHeight="1" x14ac:dyDescent="0.25">
      <c r="A49" s="21" t="s">
        <v>336</v>
      </c>
      <c r="T49" s="4">
        <v>18</v>
      </c>
      <c r="AA49" s="4">
        <v>17</v>
      </c>
      <c r="AT49" s="4">
        <v>12</v>
      </c>
    </row>
    <row r="50" spans="1:91" s="4" customFormat="1" ht="15" customHeight="1" x14ac:dyDescent="0.25">
      <c r="A50" s="21" t="s">
        <v>362</v>
      </c>
      <c r="AU50" s="4">
        <v>24</v>
      </c>
    </row>
    <row r="51" spans="1:91" s="4" customFormat="1" ht="15" customHeight="1" x14ac:dyDescent="0.25">
      <c r="A51" s="21" t="s">
        <v>363</v>
      </c>
      <c r="AU51" s="4">
        <v>29</v>
      </c>
    </row>
    <row r="52" spans="1:91" s="4" customFormat="1" ht="15" customHeight="1" x14ac:dyDescent="0.25">
      <c r="A52" s="21" t="s">
        <v>717</v>
      </c>
      <c r="BY52" s="4">
        <v>90</v>
      </c>
    </row>
    <row r="53" spans="1:91" s="4" customFormat="1" ht="15" customHeight="1" x14ac:dyDescent="0.25">
      <c r="A53" s="21" t="s">
        <v>718</v>
      </c>
      <c r="BY53" s="4">
        <v>90</v>
      </c>
    </row>
    <row r="54" spans="1:91" s="4" customFormat="1" ht="15" customHeight="1" x14ac:dyDescent="0.25">
      <c r="A54" s="21" t="s">
        <v>323</v>
      </c>
      <c r="B54" s="6"/>
      <c r="D54" s="6"/>
      <c r="E54" s="6"/>
      <c r="F54" s="6"/>
      <c r="BN54" s="4">
        <v>98</v>
      </c>
      <c r="BO54" s="4">
        <v>99.5</v>
      </c>
      <c r="BP54" s="4">
        <v>98</v>
      </c>
      <c r="BQ54" s="4">
        <v>99.5</v>
      </c>
      <c r="BR54" s="4">
        <v>98</v>
      </c>
      <c r="BS54" s="4">
        <v>99.8</v>
      </c>
      <c r="BT54" s="4">
        <v>99.5</v>
      </c>
      <c r="BU54" s="4">
        <v>99</v>
      </c>
      <c r="BV54" s="4">
        <v>99</v>
      </c>
      <c r="BW54" s="4">
        <v>99.85</v>
      </c>
      <c r="BZ54" s="4">
        <v>93</v>
      </c>
      <c r="CA54" s="4">
        <v>94</v>
      </c>
      <c r="CB54" s="4">
        <v>99.5</v>
      </c>
      <c r="CC54" s="4">
        <v>94</v>
      </c>
      <c r="CD54" s="4">
        <v>93</v>
      </c>
      <c r="CE54" s="4">
        <v>98</v>
      </c>
      <c r="CF54" s="4">
        <v>99</v>
      </c>
      <c r="CG54" s="4">
        <v>99.5</v>
      </c>
      <c r="CH54" s="4">
        <v>98</v>
      </c>
      <c r="CI54" s="4">
        <v>93</v>
      </c>
      <c r="CJ54" s="4">
        <v>93</v>
      </c>
      <c r="CK54" s="4">
        <v>99.85</v>
      </c>
      <c r="CL54" s="4">
        <v>99</v>
      </c>
      <c r="CM54" s="4">
        <v>99.5</v>
      </c>
    </row>
    <row r="55" spans="1:91" s="4" customFormat="1" ht="15" customHeight="1" x14ac:dyDescent="0.25">
      <c r="A55" s="21" t="s">
        <v>324</v>
      </c>
      <c r="B55" s="6"/>
      <c r="D55" s="6"/>
      <c r="E55" s="6"/>
      <c r="F55" s="6"/>
      <c r="BZ55" s="4">
        <v>97</v>
      </c>
      <c r="CD55" s="4">
        <v>97</v>
      </c>
      <c r="CI55" s="4">
        <v>97</v>
      </c>
      <c r="CJ55" s="4">
        <v>97</v>
      </c>
    </row>
    <row r="56" spans="1:91" s="4" customFormat="1" ht="15" customHeight="1" x14ac:dyDescent="0.25">
      <c r="A56" s="21" t="s">
        <v>337</v>
      </c>
      <c r="R56" s="4">
        <v>1</v>
      </c>
      <c r="S56" s="4">
        <v>1</v>
      </c>
      <c r="AD56" s="7">
        <v>4</v>
      </c>
      <c r="AE56" s="4">
        <v>2</v>
      </c>
      <c r="AF56" s="6">
        <v>2</v>
      </c>
      <c r="AG56" s="4">
        <v>2</v>
      </c>
      <c r="AH56" s="4">
        <v>2</v>
      </c>
      <c r="AI56" s="4">
        <v>2</v>
      </c>
      <c r="AJ56" s="4">
        <v>2</v>
      </c>
      <c r="AK56" s="4">
        <v>2</v>
      </c>
      <c r="AL56" s="4">
        <v>0.5</v>
      </c>
      <c r="AM56" s="4">
        <v>1</v>
      </c>
      <c r="AN56" s="4">
        <v>0.25</v>
      </c>
      <c r="AQ56" s="4">
        <v>1</v>
      </c>
      <c r="BZ56" s="4">
        <v>1</v>
      </c>
      <c r="CD56" s="4">
        <v>3</v>
      </c>
    </row>
    <row r="57" spans="1:91" s="4" customFormat="1" ht="15" customHeight="1" x14ac:dyDescent="0.25">
      <c r="A57" s="21" t="s">
        <v>338</v>
      </c>
      <c r="R57" s="4">
        <v>2</v>
      </c>
      <c r="S57" s="4">
        <v>2</v>
      </c>
      <c r="AD57" s="7">
        <v>8</v>
      </c>
      <c r="AE57" s="4">
        <v>4</v>
      </c>
      <c r="AF57" s="6">
        <v>4</v>
      </c>
      <c r="AG57" s="4">
        <v>4</v>
      </c>
      <c r="AH57" s="4">
        <v>4</v>
      </c>
      <c r="AI57" s="4">
        <v>4</v>
      </c>
      <c r="AJ57" s="4">
        <v>4</v>
      </c>
      <c r="AK57" s="4">
        <v>4</v>
      </c>
      <c r="AL57" s="4">
        <v>1.5</v>
      </c>
      <c r="AM57" s="4">
        <v>2</v>
      </c>
      <c r="AN57" s="4">
        <v>2</v>
      </c>
      <c r="AQ57" s="4">
        <v>2</v>
      </c>
      <c r="BZ57" s="4">
        <v>3</v>
      </c>
      <c r="CD57" s="4">
        <v>7</v>
      </c>
      <c r="CE57" s="4">
        <v>2</v>
      </c>
      <c r="CF57" s="4">
        <v>1</v>
      </c>
      <c r="CH57" s="4">
        <v>2</v>
      </c>
      <c r="CL57" s="4">
        <v>1</v>
      </c>
    </row>
    <row r="58" spans="1:91" s="4" customFormat="1" ht="15" customHeight="1" x14ac:dyDescent="0.25">
      <c r="A58" s="21" t="s">
        <v>347</v>
      </c>
      <c r="AD58" s="7"/>
      <c r="AF58" s="6"/>
      <c r="AN58" s="4">
        <v>98</v>
      </c>
      <c r="AQ58" s="4">
        <v>98</v>
      </c>
      <c r="BZ58" s="4">
        <v>99.5</v>
      </c>
      <c r="CA58" s="4">
        <v>99.5</v>
      </c>
      <c r="CB58" s="4">
        <v>99.5</v>
      </c>
      <c r="CC58" s="4">
        <v>99.5</v>
      </c>
      <c r="CD58" s="4">
        <v>99.85</v>
      </c>
      <c r="CH58" s="4">
        <v>99.5</v>
      </c>
      <c r="CI58" s="4">
        <v>98</v>
      </c>
      <c r="CJ58" s="4">
        <v>99.5</v>
      </c>
    </row>
    <row r="59" spans="1:91" s="4" customFormat="1" ht="15" customHeight="1" x14ac:dyDescent="0.25">
      <c r="A59" s="21" t="s">
        <v>524</v>
      </c>
      <c r="AD59" s="7"/>
      <c r="AF59" s="6"/>
      <c r="CA59" s="4">
        <v>2</v>
      </c>
      <c r="CC59" s="4">
        <v>2</v>
      </c>
    </row>
    <row r="60" spans="1:91" s="4" customFormat="1" ht="15" customHeight="1" x14ac:dyDescent="0.25">
      <c r="A60" s="21" t="s">
        <v>525</v>
      </c>
      <c r="AD60" s="7"/>
      <c r="AF60" s="6"/>
      <c r="CA60" s="4">
        <v>6</v>
      </c>
      <c r="CC60" s="4">
        <v>6</v>
      </c>
    </row>
    <row r="61" spans="1:91" s="4" customFormat="1" ht="15" customHeight="1" x14ac:dyDescent="0.25">
      <c r="A61" s="21" t="s">
        <v>603</v>
      </c>
      <c r="AD61" s="7"/>
      <c r="AF61" s="6"/>
      <c r="CI61" s="4">
        <v>3</v>
      </c>
      <c r="CJ61" s="4">
        <v>3</v>
      </c>
    </row>
    <row r="62" spans="1:91" s="4" customFormat="1" ht="15" customHeight="1" x14ac:dyDescent="0.25">
      <c r="A62" s="21" t="s">
        <v>604</v>
      </c>
      <c r="AD62" s="7"/>
      <c r="AF62" s="6"/>
      <c r="CI62" s="4">
        <v>7</v>
      </c>
      <c r="CJ62" s="4">
        <v>7</v>
      </c>
    </row>
    <row r="63" spans="1:91" s="4" customFormat="1" ht="15" customHeight="1" x14ac:dyDescent="0.25">
      <c r="A63" s="21" t="s">
        <v>394</v>
      </c>
      <c r="AD63" s="7"/>
      <c r="AF63" s="6"/>
      <c r="AX63" s="4">
        <v>24</v>
      </c>
      <c r="AY63" s="4">
        <v>24</v>
      </c>
      <c r="AZ63" s="4">
        <v>24</v>
      </c>
    </row>
    <row r="64" spans="1:91" s="4" customFormat="1" ht="15" customHeight="1" x14ac:dyDescent="0.25">
      <c r="A64" s="21" t="s">
        <v>395</v>
      </c>
      <c r="AD64" s="7"/>
      <c r="AF64" s="6"/>
      <c r="AX64" s="4">
        <v>24</v>
      </c>
      <c r="AY64" s="4">
        <v>24</v>
      </c>
      <c r="AZ64" s="4">
        <v>24</v>
      </c>
    </row>
    <row r="65" spans="1:76" s="4" customFormat="1" ht="15" customHeight="1" x14ac:dyDescent="0.25">
      <c r="A65" s="21" t="s">
        <v>482</v>
      </c>
      <c r="AD65" s="7"/>
      <c r="AF65" s="6"/>
      <c r="BH65" s="4">
        <v>35</v>
      </c>
      <c r="BI65" s="4">
        <v>27</v>
      </c>
      <c r="BJ65" s="4">
        <v>27</v>
      </c>
      <c r="BK65" s="4">
        <v>36</v>
      </c>
      <c r="BL65" s="4">
        <v>36</v>
      </c>
      <c r="BM65" s="4">
        <v>36</v>
      </c>
    </row>
    <row r="66" spans="1:76" s="4" customFormat="1" ht="15" customHeight="1" x14ac:dyDescent="0.25">
      <c r="A66" s="21" t="s">
        <v>483</v>
      </c>
      <c r="AD66" s="7"/>
      <c r="AF66" s="6"/>
      <c r="BH66" s="4">
        <v>35</v>
      </c>
      <c r="BI66" s="4">
        <v>27</v>
      </c>
      <c r="BJ66" s="4">
        <v>27</v>
      </c>
      <c r="BK66" s="4">
        <v>36</v>
      </c>
      <c r="BL66" s="4">
        <v>36</v>
      </c>
      <c r="BM66" s="4">
        <v>36</v>
      </c>
    </row>
    <row r="67" spans="1:76" s="4" customFormat="1" ht="15" customHeight="1" x14ac:dyDescent="0.25">
      <c r="A67" s="21" t="s">
        <v>783</v>
      </c>
      <c r="AD67" s="7"/>
      <c r="AF67" s="6"/>
      <c r="AX67" s="4">
        <v>23</v>
      </c>
      <c r="AY67" s="4">
        <v>23</v>
      </c>
      <c r="AZ67" s="4">
        <v>23</v>
      </c>
      <c r="BH67" s="4">
        <v>23</v>
      </c>
      <c r="BI67" s="4">
        <v>17</v>
      </c>
      <c r="BJ67" s="4">
        <v>17</v>
      </c>
      <c r="BK67" s="4">
        <v>18</v>
      </c>
      <c r="BL67" s="4">
        <v>18</v>
      </c>
      <c r="BM67" s="4">
        <v>18</v>
      </c>
    </row>
    <row r="68" spans="1:76" s="4" customFormat="1" ht="15" customHeight="1" x14ac:dyDescent="0.25">
      <c r="A68" s="21" t="s">
        <v>484</v>
      </c>
      <c r="AD68" s="7"/>
      <c r="AF68" s="6"/>
      <c r="AX68" s="4">
        <v>23</v>
      </c>
      <c r="AY68" s="4">
        <v>23</v>
      </c>
      <c r="AZ68" s="4">
        <v>23</v>
      </c>
      <c r="BH68" s="4">
        <v>23</v>
      </c>
      <c r="BI68" s="4">
        <v>17</v>
      </c>
      <c r="BJ68" s="4">
        <v>17</v>
      </c>
      <c r="BK68" s="4">
        <v>18</v>
      </c>
      <c r="BL68" s="4">
        <v>18</v>
      </c>
      <c r="BM68" s="4">
        <v>18</v>
      </c>
    </row>
    <row r="69" spans="1:76" s="4" customFormat="1" ht="15" customHeight="1" x14ac:dyDescent="0.25">
      <c r="A69" s="21" t="s">
        <v>372</v>
      </c>
      <c r="AD69" s="7"/>
      <c r="AF69" s="6"/>
      <c r="AX69" s="4">
        <v>53</v>
      </c>
      <c r="AY69" s="4">
        <v>53</v>
      </c>
      <c r="AZ69" s="4">
        <v>53</v>
      </c>
      <c r="BH69" s="4">
        <v>42</v>
      </c>
      <c r="BI69" s="4">
        <v>56</v>
      </c>
      <c r="BJ69" s="4">
        <v>56</v>
      </c>
      <c r="BK69" s="4">
        <v>46</v>
      </c>
      <c r="BL69" s="4">
        <v>46</v>
      </c>
      <c r="BM69" s="4">
        <v>46</v>
      </c>
    </row>
    <row r="70" spans="1:76" s="4" customFormat="1" ht="15" customHeight="1" x14ac:dyDescent="0.25">
      <c r="A70" s="21" t="s">
        <v>373</v>
      </c>
      <c r="AD70" s="7"/>
      <c r="AF70" s="6"/>
      <c r="AX70" s="4">
        <v>53</v>
      </c>
      <c r="AY70" s="4">
        <v>53</v>
      </c>
      <c r="AZ70" s="4">
        <v>53</v>
      </c>
      <c r="BH70" s="4">
        <v>42</v>
      </c>
      <c r="BI70" s="4">
        <v>56</v>
      </c>
      <c r="BJ70" s="4">
        <v>56</v>
      </c>
      <c r="BK70" s="4">
        <v>46</v>
      </c>
      <c r="BL70" s="4">
        <v>46</v>
      </c>
      <c r="BM70" s="4">
        <v>46</v>
      </c>
    </row>
    <row r="71" spans="1:76" s="4" customFormat="1" ht="15" customHeight="1" x14ac:dyDescent="0.25">
      <c r="A71" s="21" t="s">
        <v>453</v>
      </c>
      <c r="AD71" s="7"/>
      <c r="AF71" s="6"/>
      <c r="BA71" s="4">
        <v>100</v>
      </c>
      <c r="BB71" s="4">
        <v>100</v>
      </c>
      <c r="BC71" s="4">
        <v>100</v>
      </c>
    </row>
    <row r="72" spans="1:76" s="4" customFormat="1" ht="15" customHeight="1" x14ac:dyDescent="0.25">
      <c r="A72" s="21" t="s">
        <v>454</v>
      </c>
      <c r="AD72" s="7"/>
      <c r="AF72" s="6"/>
      <c r="BA72" s="4">
        <v>100</v>
      </c>
      <c r="BB72" s="4">
        <v>100</v>
      </c>
      <c r="BC72" s="4">
        <v>100</v>
      </c>
    </row>
    <row r="73" spans="1:76" s="4" customFormat="1" ht="15" customHeight="1" x14ac:dyDescent="0.25">
      <c r="A73" s="21" t="s">
        <v>710</v>
      </c>
      <c r="AD73" s="7"/>
      <c r="AF73" s="6"/>
    </row>
    <row r="74" spans="1:76" s="4" customFormat="1" ht="15" customHeight="1" x14ac:dyDescent="0.25">
      <c r="A74" s="21" t="s">
        <v>711</v>
      </c>
      <c r="AD74" s="7"/>
      <c r="AF74" s="6"/>
    </row>
    <row r="75" spans="1:76" s="4" customFormat="1" ht="15" customHeight="1" x14ac:dyDescent="0.25">
      <c r="A75" s="21" t="s">
        <v>466</v>
      </c>
      <c r="AD75" s="7"/>
      <c r="AF75" s="6"/>
      <c r="BD75" s="4">
        <v>100</v>
      </c>
      <c r="BE75" s="4">
        <v>100</v>
      </c>
      <c r="BF75" s="4">
        <v>100</v>
      </c>
      <c r="BG75" s="4">
        <v>100</v>
      </c>
    </row>
    <row r="76" spans="1:76" s="4" customFormat="1" ht="15" customHeight="1" x14ac:dyDescent="0.25">
      <c r="A76" s="21" t="s">
        <v>467</v>
      </c>
      <c r="AD76" s="7"/>
      <c r="AF76" s="6"/>
      <c r="BD76" s="4">
        <v>100</v>
      </c>
      <c r="BE76" s="4">
        <v>100</v>
      </c>
      <c r="BF76" s="4">
        <v>100</v>
      </c>
      <c r="BG76" s="4">
        <v>100</v>
      </c>
    </row>
    <row r="77" spans="1:76" s="4" customFormat="1" ht="15" customHeight="1" x14ac:dyDescent="0.25">
      <c r="A77" s="21" t="s">
        <v>697</v>
      </c>
      <c r="AD77" s="7"/>
      <c r="AF77" s="6"/>
      <c r="AT77" s="4">
        <v>60</v>
      </c>
      <c r="BX77" s="4">
        <v>50</v>
      </c>
    </row>
    <row r="78" spans="1:76" s="4" customFormat="1" ht="15" customHeight="1" x14ac:dyDescent="0.25">
      <c r="A78" s="21" t="s">
        <v>698</v>
      </c>
      <c r="AD78" s="7"/>
      <c r="AF78" s="6"/>
      <c r="AT78" s="4">
        <v>70</v>
      </c>
      <c r="BX78" s="4">
        <v>50</v>
      </c>
    </row>
    <row r="79" spans="1:76" s="4" customFormat="1" ht="15" customHeight="1" x14ac:dyDescent="0.25">
      <c r="A79" s="21" t="s">
        <v>699</v>
      </c>
      <c r="AD79" s="7"/>
      <c r="AF79" s="6"/>
      <c r="BX79" s="4">
        <v>10</v>
      </c>
    </row>
    <row r="80" spans="1:76" s="4" customFormat="1" ht="15" customHeight="1" x14ac:dyDescent="0.25">
      <c r="A80" s="21" t="s">
        <v>700</v>
      </c>
      <c r="AD80" s="7"/>
      <c r="AF80" s="6"/>
      <c r="BX80" s="4">
        <v>10</v>
      </c>
    </row>
    <row r="81" spans="1:94" s="4" customFormat="1" ht="15" customHeight="1" x14ac:dyDescent="0.25">
      <c r="A81" s="21" t="s">
        <v>701</v>
      </c>
      <c r="AD81" s="7"/>
      <c r="AF81" s="6"/>
      <c r="BX81" s="4">
        <v>40</v>
      </c>
    </row>
    <row r="82" spans="1:94" s="4" customFormat="1" ht="15" customHeight="1" x14ac:dyDescent="0.25">
      <c r="A82" s="21" t="s">
        <v>702</v>
      </c>
      <c r="AD82" s="7"/>
      <c r="AF82" s="6"/>
      <c r="BX82" s="4">
        <v>40</v>
      </c>
    </row>
    <row r="83" spans="1:94" s="4" customFormat="1" ht="15" customHeight="1" x14ac:dyDescent="0.25">
      <c r="A83" s="21" t="s">
        <v>797</v>
      </c>
      <c r="AD83" s="7"/>
      <c r="AF83" s="6"/>
      <c r="CN83" s="4">
        <v>100</v>
      </c>
      <c r="CO83" s="4">
        <v>100</v>
      </c>
    </row>
    <row r="84" spans="1:94" s="4" customFormat="1" ht="15" customHeight="1" x14ac:dyDescent="0.25">
      <c r="A84" s="21" t="s">
        <v>798</v>
      </c>
      <c r="AD84" s="7"/>
      <c r="AF84" s="6"/>
      <c r="CN84" s="4">
        <v>100</v>
      </c>
      <c r="CO84" s="4">
        <v>100</v>
      </c>
    </row>
    <row r="85" spans="1:94" s="4" customFormat="1" ht="15" customHeight="1" x14ac:dyDescent="0.25">
      <c r="A85" s="21" t="s">
        <v>841</v>
      </c>
      <c r="AD85" s="7"/>
      <c r="AF85" s="6"/>
      <c r="CP85" s="4">
        <v>100</v>
      </c>
    </row>
    <row r="86" spans="1:94" s="4" customFormat="1" ht="15" customHeight="1" x14ac:dyDescent="0.25">
      <c r="A86" s="21" t="s">
        <v>842</v>
      </c>
      <c r="AD86" s="7"/>
      <c r="AF86" s="6"/>
      <c r="CP86" s="4">
        <v>100</v>
      </c>
    </row>
    <row r="87" spans="1:94" s="8" customFormat="1" ht="15" customHeight="1" x14ac:dyDescent="0.25">
      <c r="A87" s="22" t="s">
        <v>190</v>
      </c>
      <c r="B87" s="8">
        <v>100</v>
      </c>
      <c r="C87" s="8">
        <v>100</v>
      </c>
      <c r="D87" s="8">
        <v>100</v>
      </c>
      <c r="H87" s="8">
        <v>100</v>
      </c>
      <c r="I87" s="8">
        <v>100</v>
      </c>
      <c r="J87" s="8">
        <v>100</v>
      </c>
      <c r="P87" s="8">
        <v>100</v>
      </c>
      <c r="T87" s="8">
        <v>100</v>
      </c>
      <c r="U87" s="8">
        <v>100</v>
      </c>
      <c r="V87" s="8">
        <v>100</v>
      </c>
      <c r="W87" s="8">
        <v>100</v>
      </c>
      <c r="X87" s="8">
        <v>100</v>
      </c>
      <c r="Y87" s="8">
        <v>100</v>
      </c>
      <c r="AA87" s="8">
        <v>100</v>
      </c>
      <c r="AD87" s="8">
        <v>50</v>
      </c>
      <c r="AE87" s="8">
        <v>100</v>
      </c>
      <c r="AF87" s="8">
        <v>100</v>
      </c>
      <c r="AG87" s="8">
        <v>20</v>
      </c>
      <c r="AJ87" s="8">
        <v>50</v>
      </c>
      <c r="AK87" s="8">
        <v>50</v>
      </c>
      <c r="AL87" s="8">
        <v>20</v>
      </c>
      <c r="AN87" s="8">
        <v>50</v>
      </c>
      <c r="AO87" s="8">
        <v>100</v>
      </c>
      <c r="AP87" s="8">
        <v>100</v>
      </c>
      <c r="BN87" s="8">
        <v>30</v>
      </c>
      <c r="BO87" s="8">
        <v>20</v>
      </c>
      <c r="BP87" s="8">
        <v>30</v>
      </c>
      <c r="BQ87" s="8">
        <v>30</v>
      </c>
      <c r="BR87" s="8">
        <v>30</v>
      </c>
      <c r="BS87" s="8">
        <v>30</v>
      </c>
      <c r="BT87" s="8">
        <v>20</v>
      </c>
      <c r="CA87" s="8">
        <v>20</v>
      </c>
      <c r="CB87" s="8">
        <v>20</v>
      </c>
      <c r="CC87" s="8">
        <v>20</v>
      </c>
      <c r="CD87" s="8">
        <v>20</v>
      </c>
      <c r="CE87" s="8">
        <v>20</v>
      </c>
      <c r="CF87" s="8">
        <v>30</v>
      </c>
      <c r="CG87" s="8">
        <v>20</v>
      </c>
      <c r="CH87" s="8">
        <v>20</v>
      </c>
      <c r="CI87" s="8">
        <v>30</v>
      </c>
      <c r="CJ87" s="8">
        <v>30</v>
      </c>
      <c r="CK87" s="8">
        <v>20</v>
      </c>
    </row>
    <row r="88" spans="1:94" s="8" customFormat="1" ht="15" customHeight="1" x14ac:dyDescent="0.25">
      <c r="A88" s="22" t="s">
        <v>637</v>
      </c>
      <c r="BR88" s="8">
        <v>50</v>
      </c>
      <c r="CJ88" s="8">
        <v>50</v>
      </c>
    </row>
    <row r="89" spans="1:94" s="8" customFormat="1" ht="15" customHeight="1" x14ac:dyDescent="0.25">
      <c r="A89" s="22" t="s">
        <v>191</v>
      </c>
      <c r="C89" s="8">
        <v>500</v>
      </c>
      <c r="D89" s="8">
        <v>200</v>
      </c>
      <c r="N89" s="8">
        <v>50</v>
      </c>
      <c r="R89" s="8">
        <v>200</v>
      </c>
      <c r="S89" s="8">
        <v>200</v>
      </c>
      <c r="W89" s="8">
        <v>500</v>
      </c>
      <c r="X89" s="8">
        <v>200</v>
      </c>
      <c r="AC89" s="8">
        <v>200</v>
      </c>
      <c r="AG89" s="8">
        <v>100</v>
      </c>
      <c r="AH89" s="8">
        <v>100</v>
      </c>
      <c r="AI89" s="8">
        <v>100</v>
      </c>
      <c r="AJ89" s="8">
        <v>100</v>
      </c>
      <c r="AK89" s="8">
        <v>100</v>
      </c>
      <c r="AL89" s="8">
        <v>50</v>
      </c>
      <c r="AM89" s="8">
        <v>100</v>
      </c>
      <c r="AN89" s="8">
        <v>100</v>
      </c>
      <c r="AQ89" s="8">
        <v>50</v>
      </c>
      <c r="AX89" s="8">
        <v>100</v>
      </c>
      <c r="AY89" s="8">
        <v>100</v>
      </c>
      <c r="AZ89" s="8">
        <v>500</v>
      </c>
      <c r="BK89" s="8">
        <v>200</v>
      </c>
      <c r="BL89" s="8">
        <v>200</v>
      </c>
      <c r="BM89" s="8">
        <v>200</v>
      </c>
      <c r="BU89" s="8">
        <v>20</v>
      </c>
      <c r="BV89" s="8">
        <v>25</v>
      </c>
      <c r="BW89" s="8">
        <v>10</v>
      </c>
      <c r="CB89" s="8">
        <v>50</v>
      </c>
      <c r="CG89" s="8">
        <v>50</v>
      </c>
      <c r="CH89" s="8">
        <v>50</v>
      </c>
      <c r="CL89" s="8">
        <v>50</v>
      </c>
      <c r="CM89" s="8">
        <v>50</v>
      </c>
    </row>
    <row r="90" spans="1:94" s="8" customFormat="1" ht="15" customHeight="1" x14ac:dyDescent="0.25">
      <c r="A90" s="22" t="s">
        <v>254</v>
      </c>
      <c r="CJ90" s="8">
        <v>10</v>
      </c>
    </row>
    <row r="91" spans="1:94" s="8" customFormat="1" ht="15" customHeight="1" x14ac:dyDescent="0.25">
      <c r="A91" s="22" t="s">
        <v>218</v>
      </c>
      <c r="AG91" s="8">
        <v>100</v>
      </c>
      <c r="AI91" s="8">
        <v>100</v>
      </c>
    </row>
    <row r="92" spans="1:94" s="8" customFormat="1" ht="15" customHeight="1" x14ac:dyDescent="0.25">
      <c r="A92" s="22" t="s">
        <v>219</v>
      </c>
      <c r="AG92" s="8">
        <v>100</v>
      </c>
      <c r="AK92" s="8">
        <v>50</v>
      </c>
      <c r="AN92" s="8">
        <v>50</v>
      </c>
      <c r="CD92" s="8">
        <v>100</v>
      </c>
      <c r="CF92" s="8">
        <v>100</v>
      </c>
    </row>
    <row r="93" spans="1:94" s="8" customFormat="1" ht="15" customHeight="1" x14ac:dyDescent="0.25">
      <c r="A93" s="22" t="s">
        <v>192</v>
      </c>
      <c r="B93" s="8">
        <v>200</v>
      </c>
      <c r="I93" s="8">
        <v>500</v>
      </c>
      <c r="J93" s="8">
        <v>500</v>
      </c>
      <c r="P93" s="8">
        <v>200</v>
      </c>
      <c r="R93" s="8">
        <v>200</v>
      </c>
      <c r="S93" s="8">
        <v>200</v>
      </c>
      <c r="T93" s="8">
        <v>200</v>
      </c>
      <c r="U93" s="8">
        <v>1000</v>
      </c>
      <c r="V93" s="8">
        <v>1500</v>
      </c>
      <c r="AG93" s="8">
        <v>500</v>
      </c>
      <c r="AH93" s="8">
        <v>700</v>
      </c>
      <c r="AI93" s="8">
        <v>1000</v>
      </c>
      <c r="AJ93" s="8">
        <v>200</v>
      </c>
      <c r="AK93" s="8">
        <v>700</v>
      </c>
      <c r="AL93" s="8">
        <v>200</v>
      </c>
      <c r="AM93" s="8">
        <v>200</v>
      </c>
      <c r="AN93" s="8">
        <v>500</v>
      </c>
      <c r="AQ93" s="8">
        <v>500</v>
      </c>
      <c r="BN93" s="8">
        <v>700</v>
      </c>
      <c r="BO93" s="8">
        <v>200</v>
      </c>
      <c r="BP93" s="8">
        <v>700</v>
      </c>
      <c r="BQ93" s="8">
        <v>600</v>
      </c>
      <c r="BR93" s="8">
        <v>1000</v>
      </c>
      <c r="BS93" s="8">
        <v>600</v>
      </c>
      <c r="BT93" s="8">
        <v>200</v>
      </c>
      <c r="BU93" s="8">
        <v>300</v>
      </c>
      <c r="BV93" s="8">
        <v>200</v>
      </c>
      <c r="BW93" s="8">
        <v>200</v>
      </c>
      <c r="CA93" s="8">
        <v>200</v>
      </c>
      <c r="CB93" s="8">
        <v>200</v>
      </c>
      <c r="CC93" s="8">
        <v>200</v>
      </c>
      <c r="CD93" s="8">
        <v>600</v>
      </c>
      <c r="CE93" s="8">
        <v>1000</v>
      </c>
      <c r="CF93" s="8">
        <v>700</v>
      </c>
      <c r="CG93" s="8">
        <v>200</v>
      </c>
      <c r="CH93" s="8">
        <v>200</v>
      </c>
      <c r="CI93" s="8">
        <v>700</v>
      </c>
      <c r="CJ93" s="8">
        <v>700</v>
      </c>
      <c r="CK93" s="8">
        <v>600</v>
      </c>
      <c r="CL93" s="8">
        <v>700</v>
      </c>
      <c r="CM93" s="8">
        <v>200</v>
      </c>
      <c r="CN93" s="8">
        <v>200</v>
      </c>
      <c r="CO93" s="8">
        <v>200</v>
      </c>
      <c r="CP93" s="8">
        <v>200</v>
      </c>
    </row>
    <row r="94" spans="1:94" s="8" customFormat="1" ht="15" customHeight="1" x14ac:dyDescent="0.25">
      <c r="A94" s="22" t="s">
        <v>174</v>
      </c>
      <c r="C94" s="8">
        <v>1500</v>
      </c>
      <c r="D94" s="8">
        <v>3000</v>
      </c>
      <c r="W94" s="8">
        <v>1500</v>
      </c>
      <c r="X94" s="8">
        <v>3000</v>
      </c>
      <c r="Y94" s="8">
        <v>1500</v>
      </c>
      <c r="AC94" s="8">
        <v>2500</v>
      </c>
      <c r="AF94" s="8">
        <v>500</v>
      </c>
    </row>
    <row r="95" spans="1:94" s="8" customFormat="1" ht="15" customHeight="1" x14ac:dyDescent="0.25">
      <c r="A95" s="22" t="s">
        <v>243</v>
      </c>
      <c r="AK95" s="8">
        <v>300</v>
      </c>
      <c r="BZ95" s="8">
        <v>200</v>
      </c>
    </row>
    <row r="96" spans="1:94" s="8" customFormat="1" ht="15" customHeight="1" x14ac:dyDescent="0.25">
      <c r="A96" s="22" t="s">
        <v>253</v>
      </c>
      <c r="AL96" s="8">
        <v>100</v>
      </c>
      <c r="BO96" s="8">
        <v>200</v>
      </c>
      <c r="BT96" s="8">
        <v>200</v>
      </c>
      <c r="BU96" s="8">
        <v>200</v>
      </c>
      <c r="BV96" s="8">
        <v>200</v>
      </c>
      <c r="BW96" s="8">
        <v>200</v>
      </c>
      <c r="CA96" s="8">
        <v>200</v>
      </c>
      <c r="CB96" s="8">
        <v>200</v>
      </c>
      <c r="CC96" s="8">
        <v>200</v>
      </c>
      <c r="CD96" s="8">
        <v>200</v>
      </c>
      <c r="CE96" s="8">
        <v>200</v>
      </c>
      <c r="CF96" s="8">
        <v>200</v>
      </c>
      <c r="CG96" s="8">
        <v>200</v>
      </c>
      <c r="CH96" s="8">
        <v>200</v>
      </c>
      <c r="CK96" s="8">
        <v>200</v>
      </c>
      <c r="CL96" s="8">
        <v>200</v>
      </c>
      <c r="CM96" s="8">
        <v>200</v>
      </c>
      <c r="CN96" s="8">
        <v>200</v>
      </c>
      <c r="CO96" s="8">
        <v>200</v>
      </c>
      <c r="CP96" s="8">
        <v>200</v>
      </c>
    </row>
    <row r="97" spans="1:94" s="9" customFormat="1" ht="15" customHeight="1" x14ac:dyDescent="0.25">
      <c r="A97" s="23" t="s">
        <v>877</v>
      </c>
      <c r="B97" s="9">
        <v>1.5</v>
      </c>
      <c r="C97" s="9">
        <v>1.3</v>
      </c>
      <c r="D97" s="9">
        <v>1.3</v>
      </c>
      <c r="E97" s="9">
        <v>1.1000000000000001</v>
      </c>
      <c r="F97" s="9">
        <v>1.25</v>
      </c>
      <c r="G97" s="9">
        <v>1.1000000000000001</v>
      </c>
      <c r="H97" s="9">
        <v>0.9</v>
      </c>
      <c r="I97" s="9">
        <v>1.3</v>
      </c>
      <c r="J97" s="9">
        <v>1.2</v>
      </c>
      <c r="K97" s="9">
        <v>1.6</v>
      </c>
      <c r="L97" s="9">
        <v>1.6</v>
      </c>
      <c r="M97" s="9">
        <v>1.6</v>
      </c>
      <c r="N97" s="9">
        <v>1.5</v>
      </c>
      <c r="O97" s="9">
        <v>1.5</v>
      </c>
      <c r="P97" s="9">
        <v>1.5</v>
      </c>
      <c r="Q97" s="9">
        <v>1.3</v>
      </c>
      <c r="R97" s="9">
        <v>1.3</v>
      </c>
      <c r="S97" s="9">
        <v>1.3</v>
      </c>
      <c r="T97" s="9">
        <v>1.5</v>
      </c>
      <c r="U97" s="9">
        <v>1.3</v>
      </c>
      <c r="V97" s="9">
        <v>1.3</v>
      </c>
      <c r="W97" s="9">
        <v>1.3</v>
      </c>
      <c r="X97" s="9">
        <v>1.3</v>
      </c>
      <c r="Y97" s="9">
        <v>1.2</v>
      </c>
      <c r="Z97" s="9">
        <v>1.1000000000000001</v>
      </c>
      <c r="AA97" s="9">
        <v>1.2</v>
      </c>
      <c r="AB97" s="9">
        <v>1.1000000000000001</v>
      </c>
      <c r="AC97" s="9">
        <v>1.3</v>
      </c>
      <c r="AD97" s="9">
        <v>1</v>
      </c>
      <c r="AE97" s="9">
        <v>0.9</v>
      </c>
      <c r="AF97" s="9">
        <v>1</v>
      </c>
      <c r="AG97" s="9">
        <v>1</v>
      </c>
      <c r="AH97" s="9">
        <v>1.1000000000000001</v>
      </c>
      <c r="AI97" s="9">
        <v>1</v>
      </c>
      <c r="AJ97" s="9">
        <v>1</v>
      </c>
      <c r="AK97" s="9">
        <v>1</v>
      </c>
      <c r="AL97" s="9">
        <v>1</v>
      </c>
      <c r="AM97" s="9">
        <v>1</v>
      </c>
      <c r="AN97" s="9">
        <v>1</v>
      </c>
      <c r="AO97" s="9">
        <v>0.9</v>
      </c>
      <c r="AP97" s="9">
        <v>0.7</v>
      </c>
      <c r="AQ97" s="9">
        <v>1</v>
      </c>
      <c r="AR97" s="9">
        <v>1.2</v>
      </c>
      <c r="AS97" s="9">
        <v>1.1000000000000001</v>
      </c>
      <c r="AU97" s="9">
        <v>0.7</v>
      </c>
      <c r="AV97" s="9">
        <v>0.3</v>
      </c>
      <c r="AX97" s="9">
        <v>1.45</v>
      </c>
      <c r="AY97" s="9">
        <v>1.45</v>
      </c>
      <c r="AZ97" s="9">
        <v>1.5</v>
      </c>
      <c r="BA97" s="9">
        <v>1.68</v>
      </c>
      <c r="BB97" s="9">
        <v>2.1800000000000002</v>
      </c>
      <c r="BC97" s="9">
        <v>2.2000000000000002</v>
      </c>
      <c r="BE97" s="9">
        <v>2.16</v>
      </c>
      <c r="BF97" s="10">
        <v>0.57999999999999996</v>
      </c>
      <c r="BG97" s="10">
        <v>0.57999999999999996</v>
      </c>
      <c r="BH97" s="9">
        <v>1.6</v>
      </c>
      <c r="BI97" s="9">
        <v>1.7</v>
      </c>
      <c r="BK97" s="9">
        <v>1.55</v>
      </c>
      <c r="BL97" s="9">
        <v>1.55</v>
      </c>
      <c r="BM97" s="9">
        <v>1.75</v>
      </c>
      <c r="BN97" s="9">
        <v>1</v>
      </c>
      <c r="BO97" s="9">
        <v>1</v>
      </c>
      <c r="BP97" s="9">
        <v>1</v>
      </c>
      <c r="BQ97" s="9">
        <v>1</v>
      </c>
      <c r="BR97" s="9">
        <v>1</v>
      </c>
      <c r="BS97" s="9">
        <v>1.1000000000000001</v>
      </c>
      <c r="BT97" s="9">
        <v>1.1000000000000001</v>
      </c>
      <c r="BU97" s="9">
        <v>1.6</v>
      </c>
      <c r="BV97" s="9">
        <v>1.6</v>
      </c>
      <c r="BW97" s="9">
        <v>1.6</v>
      </c>
      <c r="BY97" s="9">
        <v>2</v>
      </c>
      <c r="BZ97" s="9">
        <v>1.3</v>
      </c>
      <c r="CA97" s="9">
        <v>0.95</v>
      </c>
      <c r="CB97" s="9">
        <v>0.7</v>
      </c>
      <c r="CC97" s="9">
        <v>0.95</v>
      </c>
      <c r="CD97" s="9">
        <v>0.95</v>
      </c>
      <c r="CE97" s="9">
        <v>0.7</v>
      </c>
      <c r="CF97" s="9">
        <v>0.7</v>
      </c>
      <c r="CG97" s="9">
        <v>0.7</v>
      </c>
      <c r="CH97" s="9">
        <v>0.9</v>
      </c>
      <c r="CI97" s="9">
        <v>0.7</v>
      </c>
      <c r="CJ97" s="9">
        <v>0.7</v>
      </c>
      <c r="CK97" s="9">
        <v>0.7</v>
      </c>
      <c r="CL97" s="9">
        <v>1</v>
      </c>
      <c r="CM97" s="9">
        <v>0.7</v>
      </c>
      <c r="CN97" s="9">
        <v>1.31</v>
      </c>
      <c r="CO97" s="9">
        <v>1.4</v>
      </c>
      <c r="CP97" s="9">
        <v>1.39</v>
      </c>
    </row>
    <row r="98" spans="1:94" s="9" customFormat="1" ht="15" customHeight="1" x14ac:dyDescent="0.25">
      <c r="A98" s="23" t="s">
        <v>878</v>
      </c>
      <c r="B98" s="9">
        <v>1.7</v>
      </c>
      <c r="C98" s="9">
        <v>1.5</v>
      </c>
      <c r="D98" s="9">
        <v>1.5</v>
      </c>
      <c r="E98" s="9">
        <v>1.4</v>
      </c>
      <c r="F98" s="9">
        <v>1.45</v>
      </c>
      <c r="G98" s="9">
        <v>1.3</v>
      </c>
      <c r="H98" s="9">
        <v>1.1000000000000001</v>
      </c>
      <c r="I98" s="9">
        <v>1.5</v>
      </c>
      <c r="J98" s="9">
        <v>1.45</v>
      </c>
      <c r="K98" s="9">
        <v>1.8</v>
      </c>
      <c r="L98" s="9">
        <v>1.8</v>
      </c>
      <c r="M98" s="9">
        <v>1.8</v>
      </c>
      <c r="N98" s="9">
        <v>1.6</v>
      </c>
      <c r="O98" s="9">
        <v>1.6</v>
      </c>
      <c r="P98" s="9">
        <v>1.7</v>
      </c>
      <c r="Q98" s="9">
        <v>1.4</v>
      </c>
      <c r="R98" s="9">
        <v>1.4</v>
      </c>
      <c r="S98" s="9">
        <v>1.5</v>
      </c>
      <c r="T98" s="9">
        <v>1.7</v>
      </c>
      <c r="U98" s="9">
        <v>1.4</v>
      </c>
      <c r="V98" s="9">
        <v>1.5</v>
      </c>
      <c r="W98" s="9">
        <v>1.5</v>
      </c>
      <c r="X98" s="9">
        <v>1.5</v>
      </c>
      <c r="Y98" s="9">
        <v>1.3</v>
      </c>
      <c r="Z98" s="9">
        <v>1.4</v>
      </c>
      <c r="AA98" s="9">
        <v>1.5</v>
      </c>
      <c r="AB98" s="9">
        <v>1.4</v>
      </c>
      <c r="AC98" s="9">
        <v>1.45</v>
      </c>
      <c r="AD98" s="9">
        <v>1.4</v>
      </c>
      <c r="AE98" s="9">
        <v>1.1000000000000001</v>
      </c>
      <c r="AF98" s="9">
        <v>1.6</v>
      </c>
      <c r="AG98" s="9">
        <v>1.6</v>
      </c>
      <c r="AH98" s="9">
        <v>1.3</v>
      </c>
      <c r="AI98" s="9">
        <v>1.2</v>
      </c>
      <c r="AJ98" s="9">
        <v>1.4</v>
      </c>
      <c r="AK98" s="9">
        <v>1.6</v>
      </c>
      <c r="AL98" s="9">
        <v>1.6</v>
      </c>
      <c r="AM98" s="9">
        <v>1.6</v>
      </c>
      <c r="AN98" s="9">
        <v>1.6</v>
      </c>
      <c r="AO98" s="9">
        <v>1.1000000000000001</v>
      </c>
      <c r="AP98" s="9">
        <v>1</v>
      </c>
      <c r="AQ98" s="9">
        <v>1.6</v>
      </c>
      <c r="AR98" s="9">
        <v>1.45</v>
      </c>
      <c r="AS98" s="9">
        <v>1.4</v>
      </c>
      <c r="AU98" s="9">
        <v>1</v>
      </c>
      <c r="AV98" s="9">
        <v>0.5</v>
      </c>
      <c r="AX98" s="9">
        <v>1.75</v>
      </c>
      <c r="AY98" s="9">
        <v>1.75</v>
      </c>
      <c r="AZ98" s="9">
        <v>2.1</v>
      </c>
      <c r="BA98" s="9">
        <v>1.72</v>
      </c>
      <c r="BB98" s="9">
        <v>2.2200000000000002</v>
      </c>
      <c r="BC98" s="9">
        <v>2.2000000000000002</v>
      </c>
      <c r="BE98" s="9">
        <v>2.16</v>
      </c>
      <c r="BF98" s="9">
        <v>0.72</v>
      </c>
      <c r="BG98" s="9">
        <v>0.72</v>
      </c>
      <c r="BH98" s="9">
        <v>1.9</v>
      </c>
      <c r="BI98" s="9">
        <v>2</v>
      </c>
      <c r="BK98" s="9">
        <v>1.85</v>
      </c>
      <c r="BL98" s="9">
        <v>1.85</v>
      </c>
      <c r="BM98" s="9">
        <v>2.25</v>
      </c>
      <c r="BN98" s="9">
        <v>1</v>
      </c>
      <c r="BO98" s="9">
        <v>1</v>
      </c>
      <c r="BP98" s="9">
        <v>1</v>
      </c>
      <c r="BQ98" s="9">
        <v>1</v>
      </c>
      <c r="BR98" s="9">
        <v>1</v>
      </c>
      <c r="BS98" s="9">
        <v>1.1000000000000001</v>
      </c>
      <c r="BT98" s="9">
        <v>1.1000000000000001</v>
      </c>
      <c r="BU98" s="9">
        <v>1.6</v>
      </c>
      <c r="BV98" s="9">
        <v>1.6</v>
      </c>
      <c r="BW98" s="9">
        <v>1.6</v>
      </c>
      <c r="BY98" s="9">
        <v>2</v>
      </c>
      <c r="BZ98" s="9">
        <v>1.7</v>
      </c>
      <c r="CA98" s="9">
        <v>0.95</v>
      </c>
      <c r="CB98" s="9">
        <v>1.1000000000000001</v>
      </c>
      <c r="CC98" s="9">
        <v>0.95</v>
      </c>
      <c r="CD98" s="9">
        <v>0.95</v>
      </c>
      <c r="CE98" s="9">
        <v>1.1000000000000001</v>
      </c>
      <c r="CF98" s="9">
        <v>0.7</v>
      </c>
      <c r="CG98" s="9">
        <v>1.1000000000000001</v>
      </c>
      <c r="CH98" s="9">
        <v>0.9</v>
      </c>
      <c r="CI98" s="9">
        <v>1.1000000000000001</v>
      </c>
      <c r="CJ98" s="9">
        <v>1.1000000000000001</v>
      </c>
      <c r="CK98" s="9">
        <v>1.1000000000000001</v>
      </c>
      <c r="CL98" s="9">
        <v>1</v>
      </c>
      <c r="CM98" s="9">
        <v>1.1000000000000001</v>
      </c>
      <c r="CN98" s="9">
        <v>1.31</v>
      </c>
      <c r="CO98" s="9">
        <v>1.4</v>
      </c>
      <c r="CP98" s="9">
        <v>1.39</v>
      </c>
    </row>
    <row r="99" spans="1:94" s="9" customFormat="1" ht="15" customHeight="1" x14ac:dyDescent="0.25">
      <c r="A99" s="23" t="s">
        <v>374</v>
      </c>
      <c r="AX99" s="9" t="s">
        <v>375</v>
      </c>
      <c r="AY99" s="9" t="s">
        <v>375</v>
      </c>
      <c r="AZ99" s="9" t="s">
        <v>375</v>
      </c>
      <c r="BA99" s="9" t="s">
        <v>402</v>
      </c>
      <c r="BB99" s="9" t="s">
        <v>402</v>
      </c>
      <c r="BC99" s="9" t="s">
        <v>443</v>
      </c>
      <c r="BE99" s="9" t="s">
        <v>462</v>
      </c>
      <c r="BH99" s="9" t="s">
        <v>375</v>
      </c>
      <c r="BI99" s="9" t="s">
        <v>375</v>
      </c>
      <c r="BK99" s="9" t="s">
        <v>375</v>
      </c>
      <c r="BL99" s="9" t="s">
        <v>375</v>
      </c>
      <c r="BM99" s="9" t="s">
        <v>375</v>
      </c>
      <c r="BY99" s="9" t="s">
        <v>719</v>
      </c>
      <c r="CN99" s="9" t="s">
        <v>809</v>
      </c>
      <c r="CO99" s="9" t="s">
        <v>809</v>
      </c>
      <c r="CP99" s="9" t="s">
        <v>809</v>
      </c>
    </row>
    <row r="100" spans="1:94" s="9" customFormat="1" ht="15" customHeight="1" x14ac:dyDescent="0.25">
      <c r="A100" s="23" t="s">
        <v>542</v>
      </c>
      <c r="CA100" s="9" t="s">
        <v>869</v>
      </c>
      <c r="CB100" s="9" t="s">
        <v>869</v>
      </c>
      <c r="CC100" s="9" t="s">
        <v>869</v>
      </c>
      <c r="CD100" s="9" t="s">
        <v>869</v>
      </c>
      <c r="CE100" s="9" t="s">
        <v>869</v>
      </c>
      <c r="CF100" s="9" t="s">
        <v>869</v>
      </c>
      <c r="CG100" s="9" t="s">
        <v>869</v>
      </c>
      <c r="CH100" s="9" t="s">
        <v>869</v>
      </c>
      <c r="CI100" s="9" t="s">
        <v>869</v>
      </c>
      <c r="CJ100" s="9" t="s">
        <v>869</v>
      </c>
      <c r="CK100" s="9" t="s">
        <v>869</v>
      </c>
      <c r="CL100" s="9" t="s">
        <v>869</v>
      </c>
      <c r="CM100" s="9" t="s">
        <v>869</v>
      </c>
    </row>
    <row r="101" spans="1:94" s="9" customFormat="1" ht="15" customHeight="1" x14ac:dyDescent="0.25">
      <c r="A101" s="23" t="s">
        <v>879</v>
      </c>
      <c r="B101" s="9">
        <v>1.6</v>
      </c>
      <c r="C101" s="9">
        <v>1.6</v>
      </c>
      <c r="G101" s="9">
        <v>1.3</v>
      </c>
      <c r="L101" s="9">
        <v>1.9</v>
      </c>
      <c r="M101" s="9">
        <v>1.75</v>
      </c>
      <c r="N101" s="9">
        <v>1.7</v>
      </c>
      <c r="O101" s="9">
        <v>1.7</v>
      </c>
      <c r="P101" s="9">
        <v>1.6</v>
      </c>
      <c r="Q101" s="9">
        <v>1.4</v>
      </c>
      <c r="R101" s="9">
        <v>1.4</v>
      </c>
      <c r="S101" s="9">
        <v>1.5</v>
      </c>
      <c r="T101" s="9">
        <v>1.6</v>
      </c>
      <c r="V101" s="9">
        <v>1.6</v>
      </c>
      <c r="W101" s="9">
        <v>1.6</v>
      </c>
      <c r="Z101" s="9">
        <v>1.2</v>
      </c>
      <c r="AB101" s="9">
        <v>1.2</v>
      </c>
      <c r="AF101" s="9">
        <v>1.75</v>
      </c>
      <c r="AG101" s="9">
        <v>1.75</v>
      </c>
      <c r="AK101" s="9">
        <v>1.4</v>
      </c>
      <c r="AL101" s="9">
        <v>1.7</v>
      </c>
      <c r="AM101" s="9">
        <v>1.7</v>
      </c>
      <c r="AN101" s="9">
        <v>1.4</v>
      </c>
      <c r="AQ101" s="9">
        <v>2</v>
      </c>
      <c r="AW101" s="9">
        <v>1.3</v>
      </c>
      <c r="CA101" s="9">
        <v>1.4</v>
      </c>
      <c r="CB101" s="9">
        <v>1.2</v>
      </c>
      <c r="CC101" s="9">
        <v>1.4</v>
      </c>
      <c r="CD101" s="9">
        <v>1.4</v>
      </c>
      <c r="CE101" s="9">
        <v>1.2</v>
      </c>
      <c r="CF101" s="9">
        <v>1.2</v>
      </c>
      <c r="CG101" s="9">
        <v>1.2</v>
      </c>
      <c r="CH101" s="9">
        <v>1.4</v>
      </c>
      <c r="CI101" s="9">
        <v>1.3</v>
      </c>
      <c r="CJ101" s="9">
        <v>1.3</v>
      </c>
      <c r="CK101" s="9">
        <v>1.2</v>
      </c>
      <c r="CL101" s="9">
        <v>1.2</v>
      </c>
      <c r="CM101" s="9">
        <v>1.5</v>
      </c>
    </row>
    <row r="102" spans="1:94" s="9" customFormat="1" ht="15" customHeight="1" x14ac:dyDescent="0.25">
      <c r="A102" s="23" t="s">
        <v>880</v>
      </c>
      <c r="B102" s="9">
        <v>1.8</v>
      </c>
      <c r="C102" s="9">
        <v>1.8</v>
      </c>
      <c r="G102" s="9">
        <v>1.5</v>
      </c>
      <c r="L102" s="9">
        <v>2</v>
      </c>
      <c r="M102" s="9">
        <v>1.85</v>
      </c>
      <c r="N102" s="9">
        <v>2</v>
      </c>
      <c r="O102" s="9">
        <v>2</v>
      </c>
      <c r="P102" s="9">
        <v>1.8</v>
      </c>
      <c r="Q102" s="9">
        <v>1.7</v>
      </c>
      <c r="R102" s="9">
        <v>1.7</v>
      </c>
      <c r="S102" s="9">
        <v>1.8</v>
      </c>
      <c r="T102" s="9">
        <v>1.8</v>
      </c>
      <c r="V102" s="9">
        <v>1.8</v>
      </c>
      <c r="W102" s="9">
        <v>1.8</v>
      </c>
      <c r="Z102" s="9">
        <v>1.5</v>
      </c>
      <c r="AB102" s="9">
        <v>1.5</v>
      </c>
      <c r="AF102" s="9">
        <v>1.95</v>
      </c>
      <c r="AG102" s="9">
        <v>1.95</v>
      </c>
      <c r="AK102" s="9">
        <v>1.8</v>
      </c>
      <c r="AL102" s="9">
        <v>2</v>
      </c>
      <c r="AM102" s="9">
        <v>2</v>
      </c>
      <c r="AN102" s="9">
        <v>1.8</v>
      </c>
      <c r="AQ102" s="9">
        <v>2</v>
      </c>
      <c r="AW102" s="9">
        <v>1.5</v>
      </c>
      <c r="CA102" s="9">
        <v>2</v>
      </c>
      <c r="CB102" s="9">
        <v>2</v>
      </c>
      <c r="CC102" s="9">
        <v>2</v>
      </c>
      <c r="CD102" s="9">
        <v>2</v>
      </c>
      <c r="CE102" s="9">
        <v>2</v>
      </c>
      <c r="CF102" s="9">
        <v>1.8</v>
      </c>
      <c r="CG102" s="9">
        <v>2</v>
      </c>
      <c r="CH102" s="9">
        <v>2</v>
      </c>
      <c r="CI102" s="9">
        <v>1.6</v>
      </c>
      <c r="CJ102" s="9">
        <v>1.6</v>
      </c>
      <c r="CK102" s="9">
        <v>2</v>
      </c>
      <c r="CL102" s="9">
        <v>1.8</v>
      </c>
      <c r="CM102" s="9">
        <v>1.9</v>
      </c>
    </row>
    <row r="103" spans="1:94" s="9" customFormat="1" ht="15" customHeight="1" x14ac:dyDescent="0.25">
      <c r="A103" s="23" t="s">
        <v>727</v>
      </c>
    </row>
    <row r="104" spans="1:94" s="9" customFormat="1" ht="15" customHeight="1" x14ac:dyDescent="0.25">
      <c r="A104" s="23" t="s">
        <v>545</v>
      </c>
      <c r="CA104" s="9" t="s">
        <v>870</v>
      </c>
      <c r="CB104" s="9" t="s">
        <v>870</v>
      </c>
      <c r="CC104" s="9" t="s">
        <v>870</v>
      </c>
      <c r="CD104" s="9" t="s">
        <v>870</v>
      </c>
      <c r="CE104" s="9" t="s">
        <v>870</v>
      </c>
      <c r="CF104" s="9" t="s">
        <v>870</v>
      </c>
      <c r="CG104" s="9" t="s">
        <v>870</v>
      </c>
      <c r="CH104" s="9" t="s">
        <v>870</v>
      </c>
      <c r="CK104" s="9" t="s">
        <v>870</v>
      </c>
      <c r="CM104" s="9" t="s">
        <v>870</v>
      </c>
    </row>
    <row r="105" spans="1:94" s="9" customFormat="1" ht="15" customHeight="1" x14ac:dyDescent="0.25">
      <c r="A105" s="23" t="s">
        <v>881</v>
      </c>
      <c r="B105" s="9">
        <v>0.4</v>
      </c>
      <c r="C105" s="9">
        <v>0.5</v>
      </c>
      <c r="D105" s="9">
        <v>0.6</v>
      </c>
      <c r="E105" s="9">
        <v>0.13</v>
      </c>
      <c r="G105" s="9">
        <v>0.2</v>
      </c>
      <c r="H105" s="9">
        <v>0.3</v>
      </c>
      <c r="I105" s="9">
        <v>0.4</v>
      </c>
      <c r="J105" s="9">
        <v>0.4</v>
      </c>
      <c r="L105" s="9">
        <v>0.4</v>
      </c>
      <c r="M105" s="9">
        <v>0.4</v>
      </c>
      <c r="O105" s="9">
        <v>0.3</v>
      </c>
      <c r="T105" s="9">
        <v>0.4</v>
      </c>
      <c r="U105" s="9">
        <v>1</v>
      </c>
      <c r="V105" s="9">
        <v>0.8</v>
      </c>
      <c r="W105" s="9">
        <v>0.5</v>
      </c>
      <c r="X105" s="9">
        <v>0.6</v>
      </c>
      <c r="Y105" s="9">
        <v>0.6</v>
      </c>
      <c r="Z105" s="9">
        <v>0.13</v>
      </c>
      <c r="AA105" s="9">
        <v>0.13</v>
      </c>
      <c r="AB105" s="9">
        <v>0.13</v>
      </c>
      <c r="AC105" s="9">
        <v>0.5</v>
      </c>
      <c r="AD105" s="9">
        <v>5</v>
      </c>
      <c r="AE105" s="9">
        <v>5</v>
      </c>
      <c r="AJ105" s="9">
        <v>5</v>
      </c>
      <c r="AO105" s="9">
        <v>10</v>
      </c>
      <c r="AP105" s="9">
        <v>10</v>
      </c>
      <c r="AR105" s="9">
        <v>0.3</v>
      </c>
      <c r="AS105" s="9">
        <v>0.3</v>
      </c>
      <c r="AU105" s="9">
        <v>0.2</v>
      </c>
      <c r="BA105" s="9">
        <v>0.48</v>
      </c>
      <c r="BC105" s="9">
        <v>0.3</v>
      </c>
      <c r="CA105" s="16">
        <v>280</v>
      </c>
      <c r="CB105" s="16">
        <v>280</v>
      </c>
      <c r="CC105" s="16">
        <v>280</v>
      </c>
      <c r="CE105" s="16">
        <v>280</v>
      </c>
      <c r="CG105" s="16">
        <v>280</v>
      </c>
      <c r="CH105" s="16">
        <v>280</v>
      </c>
      <c r="CI105" s="16">
        <v>280</v>
      </c>
      <c r="CJ105" s="16">
        <v>280</v>
      </c>
      <c r="CK105" s="16">
        <v>280</v>
      </c>
    </row>
    <row r="106" spans="1:94" s="9" customFormat="1" ht="15" customHeight="1" x14ac:dyDescent="0.25">
      <c r="A106" s="23" t="s">
        <v>882</v>
      </c>
      <c r="B106" s="9">
        <v>0.8</v>
      </c>
      <c r="C106" s="9">
        <v>0.5</v>
      </c>
      <c r="D106" s="9">
        <v>0.6</v>
      </c>
      <c r="E106" s="9">
        <v>0.13</v>
      </c>
      <c r="G106" s="9">
        <v>0.2</v>
      </c>
      <c r="H106" s="9">
        <v>0.3</v>
      </c>
      <c r="I106" s="9">
        <v>0.4</v>
      </c>
      <c r="J106" s="9">
        <v>0.4</v>
      </c>
      <c r="L106" s="9">
        <v>0.4</v>
      </c>
      <c r="M106" s="9">
        <v>0.4</v>
      </c>
      <c r="O106" s="9">
        <v>0.3</v>
      </c>
      <c r="T106" s="9">
        <v>0.8</v>
      </c>
      <c r="U106" s="9">
        <v>1</v>
      </c>
      <c r="V106" s="9">
        <v>0.8</v>
      </c>
      <c r="W106" s="9">
        <v>0.5</v>
      </c>
      <c r="X106" s="9">
        <v>0.6</v>
      </c>
      <c r="Y106" s="9">
        <v>0.6</v>
      </c>
      <c r="Z106" s="9">
        <v>0.13</v>
      </c>
      <c r="AA106" s="9">
        <v>0.13</v>
      </c>
      <c r="AB106" s="9">
        <v>0.13</v>
      </c>
      <c r="AC106" s="9">
        <v>0.5</v>
      </c>
      <c r="AD106" s="9">
        <v>5</v>
      </c>
      <c r="AE106" s="9">
        <v>5</v>
      </c>
      <c r="AJ106" s="9">
        <v>5</v>
      </c>
      <c r="AO106" s="9">
        <v>10</v>
      </c>
      <c r="AP106" s="9">
        <v>10</v>
      </c>
      <c r="AR106" s="9">
        <v>0.5</v>
      </c>
      <c r="AS106" s="9">
        <v>0.5</v>
      </c>
      <c r="AU106" s="9">
        <v>0.2</v>
      </c>
      <c r="BA106" s="9">
        <v>0.48</v>
      </c>
      <c r="BC106" s="9">
        <v>0.3</v>
      </c>
      <c r="CA106" s="16">
        <v>280</v>
      </c>
      <c r="CB106" s="16">
        <v>280</v>
      </c>
      <c r="CC106" s="16">
        <v>280</v>
      </c>
      <c r="CE106" s="16">
        <v>280</v>
      </c>
      <c r="CG106" s="16">
        <v>280</v>
      </c>
      <c r="CH106" s="16">
        <v>280</v>
      </c>
      <c r="CI106" s="16">
        <v>280</v>
      </c>
      <c r="CJ106" s="16">
        <v>280</v>
      </c>
      <c r="CK106" s="16">
        <v>280</v>
      </c>
    </row>
    <row r="107" spans="1:94" s="9" customFormat="1" ht="15" customHeight="1" x14ac:dyDescent="0.25">
      <c r="A107" s="23" t="s">
        <v>728</v>
      </c>
      <c r="BA107" s="9" t="s">
        <v>418</v>
      </c>
    </row>
    <row r="108" spans="1:94" s="9" customFormat="1" ht="15" customHeight="1" x14ac:dyDescent="0.25">
      <c r="A108" s="23" t="s">
        <v>729</v>
      </c>
      <c r="CA108" s="9" t="s">
        <v>866</v>
      </c>
      <c r="CB108" s="9" t="s">
        <v>866</v>
      </c>
      <c r="CC108" s="9" t="s">
        <v>866</v>
      </c>
      <c r="CE108" s="9" t="s">
        <v>866</v>
      </c>
      <c r="CG108" s="9" t="s">
        <v>866</v>
      </c>
      <c r="CH108" s="9" t="s">
        <v>866</v>
      </c>
      <c r="CI108" s="9" t="s">
        <v>866</v>
      </c>
      <c r="CJ108" s="9" t="s">
        <v>866</v>
      </c>
      <c r="CK108" s="9" t="s">
        <v>866</v>
      </c>
    </row>
    <row r="109" spans="1:94" s="9" customFormat="1" ht="15" customHeight="1" x14ac:dyDescent="0.25">
      <c r="A109" s="23" t="s">
        <v>883</v>
      </c>
      <c r="CA109" s="9">
        <v>160</v>
      </c>
      <c r="CB109" s="9">
        <v>160</v>
      </c>
      <c r="CC109" s="9">
        <v>160</v>
      </c>
      <c r="CD109" s="9">
        <v>160</v>
      </c>
      <c r="CE109" s="9">
        <v>160</v>
      </c>
      <c r="CF109" s="9">
        <v>160</v>
      </c>
      <c r="CG109" s="9">
        <v>160</v>
      </c>
      <c r="CH109" s="9">
        <v>160</v>
      </c>
      <c r="CI109" s="9">
        <v>160</v>
      </c>
      <c r="CJ109" s="9">
        <v>160</v>
      </c>
      <c r="CK109" s="9">
        <v>160</v>
      </c>
      <c r="CL109" s="9">
        <v>160</v>
      </c>
    </row>
    <row r="110" spans="1:94" s="9" customFormat="1" ht="15" customHeight="1" x14ac:dyDescent="0.25">
      <c r="A110" s="23" t="s">
        <v>884</v>
      </c>
      <c r="CA110" s="9">
        <v>160</v>
      </c>
      <c r="CB110" s="9">
        <v>160</v>
      </c>
      <c r="CC110" s="9">
        <v>160</v>
      </c>
      <c r="CD110" s="9">
        <v>160</v>
      </c>
      <c r="CE110" s="9">
        <v>160</v>
      </c>
      <c r="CF110" s="9">
        <v>160</v>
      </c>
      <c r="CG110" s="9">
        <v>160</v>
      </c>
      <c r="CH110" s="9">
        <v>160</v>
      </c>
      <c r="CI110" s="9">
        <v>160</v>
      </c>
      <c r="CJ110" s="9">
        <v>160</v>
      </c>
      <c r="CK110" s="9">
        <v>160</v>
      </c>
      <c r="CL110" s="9">
        <v>160</v>
      </c>
    </row>
    <row r="111" spans="1:94" s="9" customFormat="1" ht="15" customHeight="1" x14ac:dyDescent="0.25">
      <c r="A111" s="23" t="s">
        <v>730</v>
      </c>
    </row>
    <row r="112" spans="1:94" s="9" customFormat="1" ht="15" customHeight="1" x14ac:dyDescent="0.25">
      <c r="A112" s="23" t="s">
        <v>731</v>
      </c>
      <c r="CA112" s="9" t="s">
        <v>867</v>
      </c>
      <c r="CB112" s="9" t="s">
        <v>867</v>
      </c>
      <c r="CC112" s="9" t="s">
        <v>867</v>
      </c>
      <c r="CD112" s="9" t="s">
        <v>867</v>
      </c>
      <c r="CE112" s="9" t="s">
        <v>867</v>
      </c>
      <c r="CF112" s="9" t="s">
        <v>867</v>
      </c>
      <c r="CG112" s="9" t="s">
        <v>867</v>
      </c>
      <c r="CH112" s="9" t="s">
        <v>867</v>
      </c>
      <c r="CI112" s="9" t="s">
        <v>867</v>
      </c>
      <c r="CJ112" s="9" t="s">
        <v>867</v>
      </c>
      <c r="CK112" s="9" t="s">
        <v>867</v>
      </c>
      <c r="CL112" s="9" t="s">
        <v>867</v>
      </c>
    </row>
    <row r="113" spans="1:91" s="9" customFormat="1" ht="15" customHeight="1" x14ac:dyDescent="0.25">
      <c r="A113" s="23" t="s">
        <v>885</v>
      </c>
      <c r="CA113" s="9">
        <v>4</v>
      </c>
      <c r="CB113" s="9">
        <v>4</v>
      </c>
      <c r="CC113" s="9">
        <v>4</v>
      </c>
      <c r="CD113" s="9">
        <v>4</v>
      </c>
      <c r="CE113" s="9">
        <v>4</v>
      </c>
      <c r="CF113" s="9">
        <v>4</v>
      </c>
      <c r="CG113" s="9">
        <v>4</v>
      </c>
      <c r="CH113" s="9">
        <v>4</v>
      </c>
      <c r="CI113" s="9">
        <v>4</v>
      </c>
      <c r="CJ113" s="9">
        <v>4</v>
      </c>
      <c r="CK113" s="9">
        <v>4</v>
      </c>
      <c r="CL113" s="9">
        <v>4</v>
      </c>
    </row>
    <row r="114" spans="1:91" s="9" customFormat="1" ht="15" customHeight="1" x14ac:dyDescent="0.25">
      <c r="A114" s="23" t="s">
        <v>886</v>
      </c>
      <c r="CA114" s="9">
        <v>4</v>
      </c>
      <c r="CB114" s="9">
        <v>4</v>
      </c>
      <c r="CC114" s="9">
        <v>4</v>
      </c>
      <c r="CD114" s="9">
        <v>4</v>
      </c>
      <c r="CE114" s="9">
        <v>4</v>
      </c>
      <c r="CF114" s="9">
        <v>4</v>
      </c>
      <c r="CG114" s="9">
        <v>4</v>
      </c>
      <c r="CH114" s="9">
        <v>4</v>
      </c>
      <c r="CI114" s="9">
        <v>4</v>
      </c>
      <c r="CJ114" s="9">
        <v>4</v>
      </c>
      <c r="CK114" s="9">
        <v>4</v>
      </c>
      <c r="CL114" s="9">
        <v>4</v>
      </c>
    </row>
    <row r="115" spans="1:91" s="9" customFormat="1" ht="15" customHeight="1" x14ac:dyDescent="0.25">
      <c r="A115" s="23" t="s">
        <v>732</v>
      </c>
    </row>
    <row r="116" spans="1:91" s="9" customFormat="1" ht="15" customHeight="1" x14ac:dyDescent="0.25">
      <c r="A116" s="23" t="s">
        <v>733</v>
      </c>
      <c r="CA116" s="9" t="s">
        <v>867</v>
      </c>
      <c r="CB116" s="9" t="s">
        <v>867</v>
      </c>
      <c r="CC116" s="9" t="s">
        <v>867</v>
      </c>
      <c r="CD116" s="9" t="s">
        <v>867</v>
      </c>
      <c r="CE116" s="9" t="s">
        <v>867</v>
      </c>
      <c r="CF116" s="9" t="s">
        <v>867</v>
      </c>
      <c r="CG116" s="9" t="s">
        <v>867</v>
      </c>
      <c r="CH116" s="9" t="s">
        <v>867</v>
      </c>
      <c r="CI116" s="9" t="s">
        <v>867</v>
      </c>
      <c r="CJ116" s="9" t="s">
        <v>867</v>
      </c>
      <c r="CK116" s="9" t="s">
        <v>867</v>
      </c>
      <c r="CL116" s="9" t="s">
        <v>867</v>
      </c>
    </row>
    <row r="117" spans="1:91" s="9" customFormat="1" ht="15" customHeight="1" x14ac:dyDescent="0.25">
      <c r="A117" s="23" t="s">
        <v>175</v>
      </c>
      <c r="B117" s="9">
        <v>0.05</v>
      </c>
      <c r="C117" s="9">
        <v>0.05</v>
      </c>
      <c r="D117" s="9">
        <v>0.05</v>
      </c>
      <c r="E117" s="9">
        <v>0.05</v>
      </c>
      <c r="G117" s="9">
        <v>0.1</v>
      </c>
      <c r="I117" s="9">
        <v>0.05</v>
      </c>
      <c r="J117" s="9">
        <v>0.05</v>
      </c>
      <c r="K117" s="9">
        <v>0.05</v>
      </c>
      <c r="L117" s="9">
        <v>0.05</v>
      </c>
      <c r="M117" s="9">
        <v>0.05</v>
      </c>
      <c r="N117" s="9">
        <v>0.05</v>
      </c>
      <c r="O117" s="9">
        <v>0.05</v>
      </c>
      <c r="P117" s="9">
        <v>0.05</v>
      </c>
      <c r="T117" s="9">
        <v>0.05</v>
      </c>
      <c r="V117" s="9">
        <v>0.05</v>
      </c>
      <c r="W117" s="9">
        <v>0.05</v>
      </c>
      <c r="X117" s="9">
        <v>0.05</v>
      </c>
      <c r="Y117" s="9">
        <v>0.05</v>
      </c>
      <c r="Z117" s="9">
        <v>0.05</v>
      </c>
      <c r="AA117" s="9">
        <v>0.05</v>
      </c>
      <c r="AB117" s="9">
        <v>0.05</v>
      </c>
      <c r="AC117" s="9">
        <v>0.05</v>
      </c>
      <c r="AD117" s="9">
        <v>0.05</v>
      </c>
      <c r="AE117" s="9">
        <v>0.05</v>
      </c>
      <c r="AJ117" s="9">
        <v>0.05</v>
      </c>
      <c r="AO117" s="9">
        <v>0.05</v>
      </c>
      <c r="AP117" s="9">
        <v>0.05</v>
      </c>
      <c r="AR117" s="9">
        <v>0.05</v>
      </c>
      <c r="AS117" s="9">
        <v>0.05</v>
      </c>
      <c r="AW117" s="9">
        <v>0.01</v>
      </c>
      <c r="BZ117" s="9">
        <v>0.05</v>
      </c>
      <c r="CA117" s="9">
        <v>0.05</v>
      </c>
      <c r="CB117" s="9">
        <v>0.05</v>
      </c>
      <c r="CC117" s="9">
        <v>0.05</v>
      </c>
      <c r="CD117" s="9">
        <v>0.05</v>
      </c>
      <c r="CE117" s="9">
        <v>0.05</v>
      </c>
      <c r="CF117" s="9">
        <v>0.05</v>
      </c>
      <c r="CG117" s="9">
        <v>0.05</v>
      </c>
      <c r="CH117" s="9">
        <v>0.05</v>
      </c>
      <c r="CI117" s="9">
        <v>0.05</v>
      </c>
      <c r="CJ117" s="9">
        <v>0.05</v>
      </c>
      <c r="CK117" s="9">
        <v>0.05</v>
      </c>
      <c r="CL117" s="9">
        <v>0.05</v>
      </c>
      <c r="CM117" s="9">
        <v>0.05</v>
      </c>
    </row>
    <row r="118" spans="1:91" s="9" customFormat="1" ht="15" customHeight="1" x14ac:dyDescent="0.25">
      <c r="A118" s="23" t="s">
        <v>176</v>
      </c>
      <c r="B118" s="9">
        <v>0.05</v>
      </c>
      <c r="C118" s="9">
        <v>0.1</v>
      </c>
      <c r="D118" s="9">
        <v>0.1</v>
      </c>
      <c r="E118" s="9">
        <v>0.1</v>
      </c>
      <c r="G118" s="9">
        <v>0.1</v>
      </c>
      <c r="I118" s="9">
        <v>0.1</v>
      </c>
      <c r="J118" s="9">
        <v>0.1</v>
      </c>
      <c r="K118" s="9">
        <v>0.1</v>
      </c>
      <c r="L118" s="9">
        <v>0.1</v>
      </c>
      <c r="M118" s="9">
        <v>0.1</v>
      </c>
      <c r="N118" s="9">
        <v>0.05</v>
      </c>
      <c r="O118" s="9">
        <v>0.05</v>
      </c>
      <c r="P118" s="9">
        <v>0.05</v>
      </c>
      <c r="T118" s="9">
        <v>0.05</v>
      </c>
      <c r="V118" s="9">
        <v>0.1</v>
      </c>
      <c r="W118" s="9">
        <v>0.1</v>
      </c>
      <c r="X118" s="9">
        <v>0.1</v>
      </c>
      <c r="Y118" s="9">
        <v>0.1</v>
      </c>
      <c r="Z118" s="9">
        <v>0.1</v>
      </c>
      <c r="AA118" s="9">
        <v>0.1</v>
      </c>
      <c r="AB118" s="9">
        <v>0.1</v>
      </c>
      <c r="AC118" s="9">
        <v>0.1</v>
      </c>
      <c r="AD118" s="9">
        <v>0.1</v>
      </c>
      <c r="AE118" s="9">
        <v>0.1</v>
      </c>
      <c r="AJ118" s="9">
        <v>0.1</v>
      </c>
      <c r="AO118" s="9">
        <v>0.1</v>
      </c>
      <c r="AP118" s="9">
        <v>0.1</v>
      </c>
      <c r="AR118" s="9">
        <v>0.1</v>
      </c>
      <c r="AS118" s="9">
        <v>0.1</v>
      </c>
      <c r="AW118" s="9">
        <v>0.05</v>
      </c>
      <c r="BZ118" s="9">
        <v>0.1</v>
      </c>
      <c r="CA118" s="9">
        <v>0.1</v>
      </c>
      <c r="CB118" s="9">
        <v>0.1</v>
      </c>
      <c r="CC118" s="9">
        <v>0.1</v>
      </c>
      <c r="CD118" s="9">
        <v>0.1</v>
      </c>
      <c r="CE118" s="9">
        <v>0.1</v>
      </c>
      <c r="CF118" s="9">
        <v>0.1</v>
      </c>
      <c r="CG118" s="9">
        <v>0.1</v>
      </c>
      <c r="CH118" s="9">
        <v>0.1</v>
      </c>
      <c r="CI118" s="9">
        <v>0.1</v>
      </c>
      <c r="CJ118" s="9">
        <v>0.1</v>
      </c>
      <c r="CK118" s="9">
        <v>0.1</v>
      </c>
      <c r="CL118" s="9">
        <v>0.1</v>
      </c>
      <c r="CM118" s="9">
        <v>0.1</v>
      </c>
    </row>
    <row r="119" spans="1:91" s="9" customFormat="1" ht="15" customHeight="1" x14ac:dyDescent="0.25">
      <c r="A119" s="23" t="s">
        <v>740</v>
      </c>
    </row>
    <row r="120" spans="1:91" s="9" customFormat="1" ht="15" customHeight="1" x14ac:dyDescent="0.25">
      <c r="A120" s="23" t="s">
        <v>741</v>
      </c>
    </row>
    <row r="121" spans="1:91" s="9" customFormat="1" ht="15" customHeight="1" x14ac:dyDescent="0.25">
      <c r="A121" s="23" t="s">
        <v>887</v>
      </c>
      <c r="B121" s="11"/>
      <c r="C121" s="11">
        <v>6.0000000000000002E-5</v>
      </c>
      <c r="D121" s="11">
        <v>6.0000000000000002E-5</v>
      </c>
      <c r="E121" s="11"/>
      <c r="F121" s="11"/>
      <c r="G121" s="11"/>
      <c r="H121" s="11">
        <v>3.0000000000000001E-5</v>
      </c>
      <c r="I121" s="11">
        <v>3.0000000000000001E-5</v>
      </c>
      <c r="J121" s="11">
        <v>3.0000000000000001E-5</v>
      </c>
      <c r="K121" s="11"/>
      <c r="L121" s="11"/>
      <c r="M121" s="11"/>
      <c r="N121" s="11"/>
      <c r="O121" s="11"/>
      <c r="P121" s="11"/>
      <c r="Q121" s="11"/>
      <c r="R121" s="11"/>
      <c r="S121" s="11"/>
      <c r="T121" s="11"/>
      <c r="U121" s="11">
        <v>2.0000000000000002E-5</v>
      </c>
      <c r="V121" s="11">
        <v>5.0000000000000002E-5</v>
      </c>
      <c r="W121" s="11">
        <v>6.0000000000000002E-5</v>
      </c>
      <c r="X121" s="11">
        <v>6.0000000000000002E-5</v>
      </c>
      <c r="Y121" s="11">
        <v>2.0000000000000002E-5</v>
      </c>
      <c r="Z121" s="11"/>
      <c r="AA121" s="11"/>
      <c r="AB121" s="11"/>
      <c r="AC121" s="11">
        <v>2.0000000000000002E-5</v>
      </c>
      <c r="AD121" s="11"/>
      <c r="AE121" s="11"/>
      <c r="AF121" s="11"/>
      <c r="AG121" s="11"/>
      <c r="AH121" s="11"/>
      <c r="AI121" s="11"/>
      <c r="AJ121" s="11"/>
      <c r="AK121" s="11"/>
      <c r="AL121" s="11"/>
      <c r="AM121" s="11"/>
      <c r="AN121" s="11"/>
      <c r="AO121" s="11"/>
      <c r="AP121" s="11"/>
      <c r="AQ121" s="11"/>
      <c r="AR121" s="11">
        <v>3.0000000000000001E-5</v>
      </c>
      <c r="AS121" s="11">
        <v>3.0000000000000001E-5</v>
      </c>
      <c r="AW121" s="11"/>
      <c r="BA121" s="11">
        <v>1.2E-4</v>
      </c>
      <c r="BZ121" s="11"/>
    </row>
    <row r="122" spans="1:91" s="9" customFormat="1" ht="15" customHeight="1" x14ac:dyDescent="0.25">
      <c r="A122" s="23" t="s">
        <v>888</v>
      </c>
      <c r="B122" s="11"/>
      <c r="C122" s="11">
        <v>6.0000000000000002E-5</v>
      </c>
      <c r="D122" s="11">
        <v>6.0000000000000002E-5</v>
      </c>
      <c r="E122" s="11"/>
      <c r="F122" s="11"/>
      <c r="G122" s="11"/>
      <c r="H122" s="11">
        <v>3.0000000000000001E-5</v>
      </c>
      <c r="I122" s="11">
        <v>3.0000000000000001E-5</v>
      </c>
      <c r="J122" s="11">
        <v>3.0000000000000001E-5</v>
      </c>
      <c r="K122" s="11"/>
      <c r="L122" s="11"/>
      <c r="M122" s="11"/>
      <c r="N122" s="11"/>
      <c r="O122" s="11"/>
      <c r="P122" s="11"/>
      <c r="Q122" s="11"/>
      <c r="R122" s="11"/>
      <c r="S122" s="11"/>
      <c r="T122" s="11"/>
      <c r="U122" s="11">
        <v>2.0000000000000002E-5</v>
      </c>
      <c r="V122" s="11">
        <v>5.0000000000000002E-5</v>
      </c>
      <c r="W122" s="11">
        <v>6.0000000000000002E-5</v>
      </c>
      <c r="X122" s="11">
        <v>6.0000000000000002E-5</v>
      </c>
      <c r="Y122" s="11">
        <v>2.0000000000000002E-5</v>
      </c>
      <c r="Z122" s="11"/>
      <c r="AA122" s="11"/>
      <c r="AB122" s="11"/>
      <c r="AC122" s="11">
        <v>2.0000000000000002E-5</v>
      </c>
      <c r="AD122" s="11"/>
      <c r="AE122" s="11"/>
      <c r="AF122" s="11"/>
      <c r="AG122" s="11"/>
      <c r="AH122" s="11"/>
      <c r="AI122" s="11"/>
      <c r="AJ122" s="11"/>
      <c r="AK122" s="11"/>
      <c r="AL122" s="11"/>
      <c r="AM122" s="11"/>
      <c r="AN122" s="11"/>
      <c r="AO122" s="11"/>
      <c r="AP122" s="11"/>
      <c r="AQ122" s="11"/>
      <c r="AR122" s="11">
        <v>3.0000000000000001E-5</v>
      </c>
      <c r="AS122" s="11">
        <v>3.0000000000000001E-5</v>
      </c>
      <c r="AW122" s="11"/>
      <c r="BA122" s="11">
        <v>1.6000000000000001E-4</v>
      </c>
      <c r="BZ122" s="11"/>
      <c r="CB122" s="11"/>
    </row>
    <row r="123" spans="1:91" s="9" customFormat="1" ht="15" customHeight="1" x14ac:dyDescent="0.25">
      <c r="A123" s="23" t="s">
        <v>419</v>
      </c>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c r="AA123" s="11"/>
      <c r="AB123" s="11"/>
      <c r="AC123" s="11"/>
      <c r="AD123" s="11"/>
      <c r="AE123" s="11"/>
      <c r="AF123" s="11"/>
      <c r="AG123" s="11"/>
      <c r="AH123" s="11"/>
      <c r="AI123" s="11"/>
      <c r="AJ123" s="11"/>
      <c r="AK123" s="11"/>
      <c r="AL123" s="11"/>
      <c r="AM123" s="11"/>
      <c r="AN123" s="11"/>
      <c r="AO123" s="11"/>
      <c r="AP123" s="11"/>
      <c r="AQ123" s="11"/>
      <c r="AR123" s="11"/>
      <c r="AS123" s="11"/>
      <c r="AW123" s="11"/>
      <c r="BA123" s="9" t="s">
        <v>420</v>
      </c>
      <c r="BZ123" s="11"/>
    </row>
    <row r="124" spans="1:91" s="9" customFormat="1" ht="15" customHeight="1" x14ac:dyDescent="0.25">
      <c r="A124" s="23" t="s">
        <v>742</v>
      </c>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c r="AA124" s="11"/>
      <c r="AB124" s="11"/>
      <c r="AC124" s="11"/>
      <c r="AD124" s="11"/>
      <c r="AE124" s="11"/>
      <c r="AF124" s="11"/>
      <c r="AG124" s="11"/>
      <c r="AH124" s="11"/>
      <c r="AI124" s="11"/>
      <c r="AJ124" s="11"/>
      <c r="AK124" s="11"/>
      <c r="AL124" s="11"/>
      <c r="AM124" s="11"/>
      <c r="AN124" s="11"/>
      <c r="AO124" s="11"/>
      <c r="AP124" s="11"/>
      <c r="AQ124" s="11"/>
      <c r="AR124" s="11"/>
      <c r="AS124" s="11"/>
      <c r="AW124" s="11"/>
      <c r="BZ124" s="11"/>
    </row>
    <row r="125" spans="1:91" s="9" customFormat="1" ht="15" customHeight="1" x14ac:dyDescent="0.25">
      <c r="A125" s="23" t="s">
        <v>889</v>
      </c>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c r="AA125" s="11"/>
      <c r="AB125" s="11"/>
      <c r="AC125" s="11"/>
      <c r="AD125" s="11"/>
      <c r="AE125" s="11"/>
      <c r="AF125" s="11"/>
      <c r="AG125" s="11"/>
      <c r="AH125" s="11"/>
      <c r="AI125" s="11"/>
      <c r="AJ125" s="11"/>
      <c r="AK125" s="11"/>
      <c r="AL125" s="11"/>
      <c r="AM125" s="11"/>
      <c r="AN125" s="11"/>
      <c r="AO125" s="11"/>
      <c r="AP125" s="11"/>
      <c r="AQ125" s="11"/>
      <c r="AR125" s="11"/>
      <c r="AS125" s="11"/>
      <c r="AW125" s="11"/>
      <c r="BZ125" s="11"/>
      <c r="CA125" s="9">
        <v>0</v>
      </c>
      <c r="CB125" s="9">
        <v>0</v>
      </c>
      <c r="CC125" s="9">
        <v>0</v>
      </c>
      <c r="CD125" s="9">
        <v>0</v>
      </c>
      <c r="CE125" s="9">
        <v>0</v>
      </c>
      <c r="CF125" s="9">
        <v>0</v>
      </c>
      <c r="CG125" s="9">
        <v>0</v>
      </c>
      <c r="CH125" s="9">
        <v>0</v>
      </c>
      <c r="CI125" s="9">
        <v>0</v>
      </c>
      <c r="CJ125" s="9">
        <v>0</v>
      </c>
      <c r="CK125" s="9">
        <v>0</v>
      </c>
      <c r="CL125" s="9">
        <v>0</v>
      </c>
      <c r="CM125" s="9">
        <v>0</v>
      </c>
    </row>
    <row r="126" spans="1:91" s="9" customFormat="1" ht="15" customHeight="1" x14ac:dyDescent="0.25">
      <c r="A126" s="23" t="s">
        <v>890</v>
      </c>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c r="AA126" s="11"/>
      <c r="AB126" s="11"/>
      <c r="AC126" s="11"/>
      <c r="AD126" s="11"/>
      <c r="AE126" s="11"/>
      <c r="AF126" s="11"/>
      <c r="AG126" s="11"/>
      <c r="AH126" s="11"/>
      <c r="AI126" s="11"/>
      <c r="AJ126" s="11"/>
      <c r="AK126" s="11"/>
      <c r="AL126" s="11"/>
      <c r="AM126" s="11"/>
      <c r="AN126" s="11"/>
      <c r="AO126" s="11"/>
      <c r="AP126" s="11"/>
      <c r="AQ126" s="11"/>
      <c r="AR126" s="11"/>
      <c r="AS126" s="11"/>
      <c r="AW126" s="11"/>
      <c r="BZ126" s="11"/>
      <c r="CA126" s="9">
        <v>0</v>
      </c>
      <c r="CB126" s="9">
        <v>0</v>
      </c>
      <c r="CC126" s="9">
        <v>0</v>
      </c>
      <c r="CD126" s="9">
        <v>0</v>
      </c>
      <c r="CE126" s="9">
        <v>0</v>
      </c>
      <c r="CF126" s="9">
        <v>0</v>
      </c>
      <c r="CG126" s="9">
        <v>0</v>
      </c>
      <c r="CH126" s="9">
        <v>0</v>
      </c>
      <c r="CI126" s="9">
        <v>0</v>
      </c>
      <c r="CJ126" s="9">
        <v>0</v>
      </c>
      <c r="CK126" s="9">
        <v>0</v>
      </c>
      <c r="CL126" s="9">
        <v>0</v>
      </c>
      <c r="CM126" s="9">
        <v>0</v>
      </c>
    </row>
    <row r="127" spans="1:91" s="9" customFormat="1" ht="15" customHeight="1" x14ac:dyDescent="0.25">
      <c r="A127" s="23" t="s">
        <v>743</v>
      </c>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c r="AA127" s="11"/>
      <c r="AB127" s="11"/>
      <c r="AC127" s="11"/>
      <c r="AD127" s="11"/>
      <c r="AE127" s="11"/>
      <c r="AF127" s="11"/>
      <c r="AG127" s="11"/>
      <c r="AH127" s="11"/>
      <c r="AI127" s="11"/>
      <c r="AJ127" s="11"/>
      <c r="AK127" s="11"/>
      <c r="AL127" s="11"/>
      <c r="AM127" s="11"/>
      <c r="AN127" s="11"/>
      <c r="AO127" s="11"/>
      <c r="AP127" s="11"/>
      <c r="AQ127" s="11"/>
      <c r="AR127" s="11"/>
      <c r="AS127" s="11"/>
      <c r="AW127" s="11"/>
      <c r="BZ127" s="11"/>
    </row>
    <row r="128" spans="1:91" s="9" customFormat="1" ht="15" customHeight="1" x14ac:dyDescent="0.25">
      <c r="A128" s="23" t="s">
        <v>540</v>
      </c>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c r="AA128" s="11"/>
      <c r="AB128" s="11"/>
      <c r="AC128" s="11"/>
      <c r="AD128" s="11"/>
      <c r="AE128" s="11"/>
      <c r="AF128" s="11"/>
      <c r="AG128" s="11"/>
      <c r="AH128" s="11"/>
      <c r="AI128" s="11"/>
      <c r="AJ128" s="11"/>
      <c r="AK128" s="11"/>
      <c r="AL128" s="11"/>
      <c r="AM128" s="11"/>
      <c r="AN128" s="11"/>
      <c r="AO128" s="11"/>
      <c r="AP128" s="11"/>
      <c r="AQ128" s="11"/>
      <c r="AR128" s="11"/>
      <c r="AS128" s="11"/>
      <c r="AW128" s="11"/>
      <c r="BZ128" s="11"/>
      <c r="CA128" s="9" t="s">
        <v>867</v>
      </c>
      <c r="CB128" s="9" t="s">
        <v>867</v>
      </c>
      <c r="CC128" s="9" t="s">
        <v>867</v>
      </c>
      <c r="CD128" s="9" t="s">
        <v>867</v>
      </c>
      <c r="CE128" s="9" t="s">
        <v>867</v>
      </c>
      <c r="CF128" s="9" t="s">
        <v>867</v>
      </c>
      <c r="CG128" s="9" t="s">
        <v>867</v>
      </c>
      <c r="CH128" s="9" t="s">
        <v>867</v>
      </c>
      <c r="CI128" s="9" t="s">
        <v>867</v>
      </c>
      <c r="CJ128" s="9" t="s">
        <v>867</v>
      </c>
      <c r="CK128" s="9" t="s">
        <v>867</v>
      </c>
      <c r="CL128" s="9" t="s">
        <v>867</v>
      </c>
      <c r="CM128" s="9" t="s">
        <v>867</v>
      </c>
    </row>
    <row r="129" spans="1:94" s="9" customFormat="1" ht="15" customHeight="1" x14ac:dyDescent="0.25">
      <c r="A129" s="23" t="s">
        <v>891</v>
      </c>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c r="AA129" s="11"/>
      <c r="AB129" s="11"/>
      <c r="AC129" s="11"/>
      <c r="AD129" s="11"/>
      <c r="AE129" s="11"/>
      <c r="AF129" s="11"/>
      <c r="AG129" s="11"/>
      <c r="AH129" s="11"/>
      <c r="AI129" s="11"/>
      <c r="AJ129" s="11"/>
      <c r="AK129" s="11"/>
      <c r="AL129" s="11"/>
      <c r="AM129" s="11"/>
      <c r="AN129" s="11"/>
      <c r="AO129" s="11"/>
      <c r="AP129" s="11"/>
      <c r="AQ129" s="11"/>
      <c r="AR129" s="11"/>
      <c r="AS129" s="11"/>
      <c r="AW129" s="11"/>
      <c r="BZ129" s="11"/>
      <c r="CA129" s="11">
        <v>2.5000000000000001E-5</v>
      </c>
      <c r="CB129" s="11">
        <v>2.5000000000000001E-5</v>
      </c>
      <c r="CC129" s="11">
        <v>2.5000000000000001E-5</v>
      </c>
      <c r="CD129" s="11">
        <v>2.5000000000000001E-5</v>
      </c>
      <c r="CE129" s="11">
        <v>2.5000000000000001E-5</v>
      </c>
      <c r="CF129" s="11">
        <v>2.5000000000000001E-5</v>
      </c>
      <c r="CG129" s="11">
        <v>2.5000000000000001E-5</v>
      </c>
      <c r="CH129" s="11">
        <v>2.5000000000000001E-5</v>
      </c>
      <c r="CI129" s="11">
        <v>2.5000000000000001E-5</v>
      </c>
      <c r="CJ129" s="11">
        <v>2.5000000000000001E-5</v>
      </c>
      <c r="CK129" s="11">
        <v>2.5000000000000001E-5</v>
      </c>
      <c r="CL129" s="11">
        <v>2.5000000000000001E-5</v>
      </c>
      <c r="CM129" s="11">
        <v>2.5000000000000001E-5</v>
      </c>
      <c r="CN129" s="11"/>
      <c r="CO129" s="11"/>
      <c r="CP129" s="11"/>
    </row>
    <row r="130" spans="1:94" s="9" customFormat="1" ht="15" customHeight="1" x14ac:dyDescent="0.25">
      <c r="A130" s="23" t="s">
        <v>892</v>
      </c>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c r="AA130" s="11"/>
      <c r="AB130" s="11"/>
      <c r="AC130" s="11"/>
      <c r="AD130" s="11"/>
      <c r="AE130" s="11"/>
      <c r="AF130" s="11"/>
      <c r="AG130" s="11"/>
      <c r="AH130" s="11"/>
      <c r="AI130" s="11"/>
      <c r="AJ130" s="11"/>
      <c r="AK130" s="11"/>
      <c r="AL130" s="11"/>
      <c r="AM130" s="11"/>
      <c r="AN130" s="11"/>
      <c r="AO130" s="11"/>
      <c r="AP130" s="11"/>
      <c r="AQ130" s="11"/>
      <c r="AR130" s="11"/>
      <c r="AS130" s="11"/>
      <c r="AW130" s="11"/>
      <c r="BZ130" s="11"/>
      <c r="CA130" s="11">
        <v>2.5000000000000001E-5</v>
      </c>
      <c r="CB130" s="11">
        <v>2.5000000000000001E-5</v>
      </c>
      <c r="CC130" s="11">
        <v>2.5000000000000001E-5</v>
      </c>
      <c r="CD130" s="11">
        <v>2.5000000000000001E-5</v>
      </c>
      <c r="CE130" s="11">
        <v>2.5000000000000001E-5</v>
      </c>
      <c r="CF130" s="11">
        <v>2.5000000000000001E-5</v>
      </c>
      <c r="CG130" s="11">
        <v>2.5000000000000001E-5</v>
      </c>
      <c r="CH130" s="11">
        <v>2.5000000000000001E-5</v>
      </c>
      <c r="CI130" s="11">
        <v>2.5000000000000001E-5</v>
      </c>
      <c r="CJ130" s="11">
        <v>2.5000000000000001E-5</v>
      </c>
      <c r="CK130" s="11">
        <v>2.5000000000000001E-5</v>
      </c>
      <c r="CL130" s="11">
        <v>2.5000000000000001E-5</v>
      </c>
      <c r="CM130" s="11">
        <v>2.5000000000000001E-5</v>
      </c>
      <c r="CN130" s="11"/>
      <c r="CO130" s="11"/>
      <c r="CP130" s="11"/>
    </row>
    <row r="131" spans="1:94" s="9" customFormat="1" ht="15" customHeight="1" x14ac:dyDescent="0.25">
      <c r="A131" s="23" t="s">
        <v>541</v>
      </c>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c r="AA131" s="11"/>
      <c r="AB131" s="11"/>
      <c r="AC131" s="11"/>
      <c r="AD131" s="11"/>
      <c r="AE131" s="11"/>
      <c r="AF131" s="11"/>
      <c r="AG131" s="11"/>
      <c r="AH131" s="11"/>
      <c r="AI131" s="11"/>
      <c r="AJ131" s="11"/>
      <c r="AK131" s="11"/>
      <c r="AL131" s="11"/>
      <c r="AM131" s="11"/>
      <c r="AN131" s="11"/>
      <c r="AO131" s="11"/>
      <c r="AP131" s="11"/>
      <c r="AQ131" s="11"/>
      <c r="AR131" s="11"/>
      <c r="AS131" s="11"/>
      <c r="AW131" s="11"/>
      <c r="BZ131" s="11"/>
      <c r="CA131" s="9" t="s">
        <v>867</v>
      </c>
      <c r="CB131" s="9" t="s">
        <v>867</v>
      </c>
      <c r="CC131" s="9" t="s">
        <v>867</v>
      </c>
      <c r="CD131" s="9" t="s">
        <v>867</v>
      </c>
      <c r="CE131" s="9" t="s">
        <v>867</v>
      </c>
      <c r="CF131" s="9" t="s">
        <v>867</v>
      </c>
      <c r="CG131" s="9" t="s">
        <v>867</v>
      </c>
      <c r="CH131" s="9" t="s">
        <v>867</v>
      </c>
      <c r="CI131" s="9" t="s">
        <v>867</v>
      </c>
      <c r="CJ131" s="9" t="s">
        <v>867</v>
      </c>
      <c r="CK131" s="9" t="s">
        <v>867</v>
      </c>
      <c r="CL131" s="9" t="s">
        <v>867</v>
      </c>
      <c r="CM131" s="9" t="s">
        <v>867</v>
      </c>
    </row>
    <row r="132" spans="1:94" s="9" customFormat="1" ht="15" customHeight="1" x14ac:dyDescent="0.25">
      <c r="A132" s="23" t="s">
        <v>177</v>
      </c>
      <c r="B132" s="9">
        <v>0.6</v>
      </c>
      <c r="C132" s="9">
        <v>0.6</v>
      </c>
      <c r="F132" s="9">
        <v>0.6</v>
      </c>
      <c r="G132" s="9">
        <v>0.5</v>
      </c>
      <c r="H132" s="9">
        <v>0.6</v>
      </c>
      <c r="I132" s="9">
        <v>0.6</v>
      </c>
      <c r="J132" s="9">
        <v>0.6</v>
      </c>
      <c r="K132" s="9">
        <v>0.5</v>
      </c>
      <c r="L132" s="9">
        <v>0.5</v>
      </c>
      <c r="M132" s="9">
        <v>0.5</v>
      </c>
      <c r="N132" s="9">
        <v>0.6</v>
      </c>
      <c r="O132" s="9">
        <v>0.6</v>
      </c>
      <c r="P132" s="9">
        <v>0.6</v>
      </c>
      <c r="T132" s="9">
        <v>0.6</v>
      </c>
      <c r="U132" s="9">
        <v>0.6</v>
      </c>
      <c r="V132" s="9">
        <v>0.7</v>
      </c>
      <c r="W132" s="9">
        <v>0.6</v>
      </c>
      <c r="X132" s="9">
        <v>0.6</v>
      </c>
      <c r="Y132" s="9">
        <v>0.6</v>
      </c>
      <c r="AA132" s="9">
        <v>0.6</v>
      </c>
      <c r="AC132" s="9">
        <v>0.6</v>
      </c>
      <c r="AD132" s="9">
        <v>0.6</v>
      </c>
      <c r="AE132" s="9">
        <v>0.6</v>
      </c>
      <c r="AJ132" s="9">
        <v>0.6</v>
      </c>
      <c r="AR132" s="9">
        <v>0.6</v>
      </c>
      <c r="AS132" s="9">
        <v>0.6</v>
      </c>
    </row>
    <row r="133" spans="1:94" s="9" customFormat="1" ht="15" customHeight="1" x14ac:dyDescent="0.25">
      <c r="A133" s="23" t="s">
        <v>178</v>
      </c>
      <c r="B133" s="9">
        <v>0.6</v>
      </c>
      <c r="C133" s="9">
        <v>0.7</v>
      </c>
      <c r="F133" s="9">
        <v>0.7</v>
      </c>
      <c r="G133" s="9">
        <v>0.5</v>
      </c>
      <c r="H133" s="9">
        <v>0.6</v>
      </c>
      <c r="I133" s="9">
        <v>0.6</v>
      </c>
      <c r="J133" s="9">
        <v>0.6</v>
      </c>
      <c r="K133" s="9">
        <v>0.5</v>
      </c>
      <c r="L133" s="9">
        <v>0.5</v>
      </c>
      <c r="M133" s="9">
        <v>0.5</v>
      </c>
      <c r="N133" s="9">
        <v>0.6</v>
      </c>
      <c r="O133" s="9">
        <v>0.6</v>
      </c>
      <c r="P133" s="9">
        <v>0.6</v>
      </c>
      <c r="T133" s="9">
        <v>0.6</v>
      </c>
      <c r="U133" s="9">
        <v>0.6</v>
      </c>
      <c r="V133" s="9">
        <v>0.7</v>
      </c>
      <c r="W133" s="9">
        <v>0.7</v>
      </c>
      <c r="X133" s="9">
        <v>0.6</v>
      </c>
      <c r="Y133" s="9">
        <v>0.6</v>
      </c>
      <c r="AA133" s="9">
        <v>0.6</v>
      </c>
      <c r="AC133" s="9">
        <v>0.7</v>
      </c>
      <c r="AD133" s="9">
        <v>0.6</v>
      </c>
      <c r="AE133" s="9">
        <v>0.6</v>
      </c>
      <c r="AJ133" s="9">
        <v>0.6</v>
      </c>
      <c r="AR133" s="9">
        <v>0.7</v>
      </c>
      <c r="AS133" s="9">
        <v>0.6</v>
      </c>
    </row>
    <row r="134" spans="1:94" s="9" customFormat="1" ht="15" customHeight="1" x14ac:dyDescent="0.25">
      <c r="A134" s="23" t="s">
        <v>744</v>
      </c>
    </row>
    <row r="135" spans="1:94" s="9" customFormat="1" ht="15" customHeight="1" x14ac:dyDescent="0.25">
      <c r="A135" s="23" t="s">
        <v>745</v>
      </c>
    </row>
    <row r="136" spans="1:94" s="9" customFormat="1" ht="15" customHeight="1" x14ac:dyDescent="0.25">
      <c r="A136" s="23" t="s">
        <v>531</v>
      </c>
      <c r="CA136" s="11">
        <v>1E-3</v>
      </c>
      <c r="CB136" s="11">
        <v>1E-3</v>
      </c>
      <c r="CC136" s="11">
        <v>1E-3</v>
      </c>
      <c r="CD136" s="11">
        <v>1E-3</v>
      </c>
      <c r="CE136" s="11">
        <v>1E-3</v>
      </c>
      <c r="CF136" s="11">
        <v>1E-3</v>
      </c>
      <c r="CG136" s="11">
        <v>1E-3</v>
      </c>
      <c r="CH136" s="11">
        <v>1E-3</v>
      </c>
      <c r="CI136" s="11">
        <v>1E-3</v>
      </c>
      <c r="CJ136" s="11">
        <v>1E-3</v>
      </c>
      <c r="CK136" s="11">
        <v>1E-3</v>
      </c>
      <c r="CL136" s="11">
        <v>1E-3</v>
      </c>
      <c r="CN136" s="11"/>
      <c r="CO136" s="11"/>
      <c r="CP136" s="11"/>
    </row>
    <row r="137" spans="1:94" s="9" customFormat="1" ht="15" customHeight="1" x14ac:dyDescent="0.25">
      <c r="A137" s="23" t="s">
        <v>532</v>
      </c>
      <c r="CA137" s="11">
        <v>1E-3</v>
      </c>
      <c r="CB137" s="11">
        <v>1E-3</v>
      </c>
      <c r="CC137" s="11">
        <v>1E-3</v>
      </c>
      <c r="CD137" s="11">
        <v>1E-3</v>
      </c>
      <c r="CE137" s="11">
        <v>1E-3</v>
      </c>
      <c r="CF137" s="11">
        <v>1E-3</v>
      </c>
      <c r="CG137" s="11">
        <v>1E-3</v>
      </c>
      <c r="CH137" s="11">
        <v>1E-3</v>
      </c>
      <c r="CI137" s="11">
        <v>1E-3</v>
      </c>
      <c r="CJ137" s="11">
        <v>1E-3</v>
      </c>
      <c r="CK137" s="11">
        <v>1E-3</v>
      </c>
      <c r="CL137" s="11">
        <v>1E-3</v>
      </c>
      <c r="CN137" s="11"/>
      <c r="CO137" s="11"/>
      <c r="CP137" s="11"/>
    </row>
    <row r="138" spans="1:94" s="9" customFormat="1" ht="15" customHeight="1" x14ac:dyDescent="0.25">
      <c r="A138" s="23" t="s">
        <v>533</v>
      </c>
    </row>
    <row r="139" spans="1:94" s="9" customFormat="1" ht="15" customHeight="1" x14ac:dyDescent="0.25">
      <c r="A139" s="23" t="s">
        <v>534</v>
      </c>
      <c r="CA139" s="9" t="s">
        <v>867</v>
      </c>
      <c r="CB139" s="9" t="s">
        <v>867</v>
      </c>
      <c r="CC139" s="9" t="s">
        <v>867</v>
      </c>
      <c r="CD139" s="9" t="s">
        <v>867</v>
      </c>
      <c r="CE139" s="9" t="s">
        <v>867</v>
      </c>
      <c r="CF139" s="9" t="s">
        <v>867</v>
      </c>
      <c r="CG139" s="9" t="s">
        <v>867</v>
      </c>
      <c r="CH139" s="9" t="s">
        <v>867</v>
      </c>
      <c r="CI139" s="9" t="s">
        <v>867</v>
      </c>
      <c r="CJ139" s="9" t="s">
        <v>867</v>
      </c>
      <c r="CK139" s="9" t="s">
        <v>867</v>
      </c>
      <c r="CL139" s="9" t="s">
        <v>867</v>
      </c>
    </row>
    <row r="140" spans="1:94" s="9" customFormat="1" ht="15" customHeight="1" x14ac:dyDescent="0.25">
      <c r="A140" s="23" t="s">
        <v>535</v>
      </c>
      <c r="CA140" s="11">
        <v>0.05</v>
      </c>
      <c r="CB140" s="11">
        <v>0.05</v>
      </c>
      <c r="CC140" s="11">
        <v>0.05</v>
      </c>
      <c r="CD140" s="11">
        <v>0.05</v>
      </c>
      <c r="CE140" s="11">
        <v>0.05</v>
      </c>
      <c r="CF140" s="11">
        <v>0.05</v>
      </c>
      <c r="CG140" s="11">
        <v>0.05</v>
      </c>
      <c r="CH140" s="11">
        <v>0.05</v>
      </c>
      <c r="CI140" s="11">
        <v>0.05</v>
      </c>
      <c r="CJ140" s="11">
        <v>0.05</v>
      </c>
      <c r="CK140" s="11">
        <v>0.05</v>
      </c>
      <c r="CL140" s="11">
        <v>0.05</v>
      </c>
      <c r="CN140" s="11"/>
      <c r="CO140" s="11"/>
      <c r="CP140" s="11"/>
    </row>
    <row r="141" spans="1:94" s="9" customFormat="1" ht="15" customHeight="1" x14ac:dyDescent="0.25">
      <c r="A141" s="23" t="s">
        <v>536</v>
      </c>
      <c r="CA141" s="11">
        <v>0.05</v>
      </c>
      <c r="CB141" s="11">
        <v>0.05</v>
      </c>
      <c r="CC141" s="11">
        <v>0.05</v>
      </c>
      <c r="CD141" s="11">
        <v>0.05</v>
      </c>
      <c r="CE141" s="11">
        <v>0.05</v>
      </c>
      <c r="CF141" s="11">
        <v>0.05</v>
      </c>
      <c r="CG141" s="11">
        <v>0.05</v>
      </c>
      <c r="CH141" s="11">
        <v>0.05</v>
      </c>
      <c r="CI141" s="11">
        <v>0.05</v>
      </c>
      <c r="CJ141" s="11">
        <v>0.05</v>
      </c>
      <c r="CK141" s="11">
        <v>0.05</v>
      </c>
      <c r="CL141" s="11">
        <v>0.05</v>
      </c>
      <c r="CN141" s="11"/>
      <c r="CO141" s="11"/>
      <c r="CP141" s="11"/>
    </row>
    <row r="142" spans="1:94" s="9" customFormat="1" ht="15" customHeight="1" x14ac:dyDescent="0.25">
      <c r="A142" s="23" t="s">
        <v>537</v>
      </c>
    </row>
    <row r="143" spans="1:94" s="9" customFormat="1" ht="15" customHeight="1" x14ac:dyDescent="0.25">
      <c r="A143" s="23" t="s">
        <v>538</v>
      </c>
      <c r="CA143" s="9" t="s">
        <v>867</v>
      </c>
      <c r="CB143" s="9" t="s">
        <v>867</v>
      </c>
      <c r="CC143" s="9" t="s">
        <v>867</v>
      </c>
      <c r="CD143" s="9" t="s">
        <v>867</v>
      </c>
      <c r="CE143" s="9" t="s">
        <v>867</v>
      </c>
      <c r="CF143" s="9" t="s">
        <v>867</v>
      </c>
      <c r="CG143" s="9" t="s">
        <v>867</v>
      </c>
      <c r="CH143" s="9" t="s">
        <v>867</v>
      </c>
      <c r="CI143" s="9" t="s">
        <v>867</v>
      </c>
      <c r="CJ143" s="9" t="s">
        <v>867</v>
      </c>
      <c r="CK143" s="9" t="s">
        <v>867</v>
      </c>
      <c r="CL143" s="9" t="s">
        <v>867</v>
      </c>
    </row>
    <row r="144" spans="1:94" s="9" customFormat="1" ht="15" customHeight="1" x14ac:dyDescent="0.25">
      <c r="A144" s="23" t="s">
        <v>782</v>
      </c>
      <c r="AJ144" s="9">
        <v>4</v>
      </c>
      <c r="AN144" s="9">
        <v>4</v>
      </c>
      <c r="BU144" s="9">
        <v>3</v>
      </c>
      <c r="BV144" s="9">
        <v>4</v>
      </c>
      <c r="BW144" s="9">
        <v>4</v>
      </c>
      <c r="CJ144" s="9">
        <v>4</v>
      </c>
      <c r="CL144" s="9">
        <v>4</v>
      </c>
    </row>
    <row r="145" spans="1:94" s="9" customFormat="1" ht="15" customHeight="1" x14ac:dyDescent="0.25">
      <c r="A145" s="23" t="s">
        <v>746</v>
      </c>
      <c r="AJ145" s="9" t="s">
        <v>445</v>
      </c>
      <c r="BU145" s="9" t="s">
        <v>638</v>
      </c>
      <c r="BV145" s="9" t="s">
        <v>638</v>
      </c>
      <c r="BW145" s="9" t="s">
        <v>638</v>
      </c>
      <c r="CJ145" s="9" t="s">
        <v>638</v>
      </c>
      <c r="CL145" s="9" t="s">
        <v>638</v>
      </c>
    </row>
    <row r="146" spans="1:94" s="9" customFormat="1" ht="15" customHeight="1" x14ac:dyDescent="0.25">
      <c r="A146" s="23" t="s">
        <v>736</v>
      </c>
      <c r="AU146" s="9">
        <v>4</v>
      </c>
      <c r="AV146" s="9">
        <v>5</v>
      </c>
    </row>
    <row r="147" spans="1:94" s="9" customFormat="1" ht="15" customHeight="1" x14ac:dyDescent="0.25">
      <c r="A147" s="23" t="s">
        <v>737</v>
      </c>
      <c r="AU147" s="9">
        <v>4</v>
      </c>
      <c r="AV147" s="9">
        <v>12</v>
      </c>
    </row>
    <row r="148" spans="1:94" s="9" customFormat="1" ht="15" customHeight="1" x14ac:dyDescent="0.25">
      <c r="A148" s="23" t="s">
        <v>738</v>
      </c>
    </row>
    <row r="149" spans="1:94" s="9" customFormat="1" ht="15" customHeight="1" x14ac:dyDescent="0.25">
      <c r="A149" s="23" t="s">
        <v>739</v>
      </c>
      <c r="AU149" s="9" t="s">
        <v>735</v>
      </c>
      <c r="AV149" s="9" t="s">
        <v>734</v>
      </c>
    </row>
    <row r="150" spans="1:94" s="9" customFormat="1" ht="15" customHeight="1" x14ac:dyDescent="0.25">
      <c r="A150" s="23" t="s">
        <v>859</v>
      </c>
      <c r="AX150" s="9">
        <v>10</v>
      </c>
      <c r="AY150" s="9">
        <v>10</v>
      </c>
      <c r="AZ150" s="9">
        <v>14</v>
      </c>
      <c r="BH150" s="9">
        <v>10</v>
      </c>
      <c r="BI150" s="9">
        <v>8</v>
      </c>
      <c r="BK150" s="9">
        <v>10</v>
      </c>
      <c r="BL150" s="9">
        <v>10</v>
      </c>
      <c r="BM150" s="9">
        <v>13</v>
      </c>
      <c r="BY150" s="9">
        <v>15</v>
      </c>
      <c r="CN150" s="9">
        <v>12</v>
      </c>
      <c r="CO150" s="9">
        <v>5.5</v>
      </c>
      <c r="CP150" s="9">
        <v>13</v>
      </c>
    </row>
    <row r="151" spans="1:94" s="9" customFormat="1" ht="15" customHeight="1" x14ac:dyDescent="0.25">
      <c r="A151" s="23" t="s">
        <v>861</v>
      </c>
      <c r="CN151" s="9">
        <v>12</v>
      </c>
      <c r="CO151" s="9">
        <v>5.5</v>
      </c>
      <c r="CP151" s="9">
        <v>13</v>
      </c>
    </row>
    <row r="152" spans="1:94" s="9" customFormat="1" ht="15" customHeight="1" x14ac:dyDescent="0.25">
      <c r="A152" s="23" t="s">
        <v>862</v>
      </c>
      <c r="AX152" s="9" t="s">
        <v>376</v>
      </c>
      <c r="AY152" s="9" t="s">
        <v>376</v>
      </c>
      <c r="AZ152" s="9" t="s">
        <v>376</v>
      </c>
      <c r="BH152" s="9" t="s">
        <v>376</v>
      </c>
      <c r="BI152" s="9" t="s">
        <v>376</v>
      </c>
      <c r="BK152" s="9" t="s">
        <v>376</v>
      </c>
      <c r="BL152" s="9" t="s">
        <v>376</v>
      </c>
      <c r="BM152" s="9" t="s">
        <v>376</v>
      </c>
      <c r="BY152" s="9" t="s">
        <v>720</v>
      </c>
      <c r="CN152" s="9" t="s">
        <v>802</v>
      </c>
      <c r="CO152" s="9" t="s">
        <v>802</v>
      </c>
      <c r="CP152" s="9" t="s">
        <v>802</v>
      </c>
    </row>
    <row r="153" spans="1:94" s="9" customFormat="1" ht="15" customHeight="1" x14ac:dyDescent="0.25">
      <c r="A153" s="23" t="s">
        <v>863</v>
      </c>
      <c r="AX153" s="9" t="s">
        <v>860</v>
      </c>
      <c r="AY153" s="9" t="s">
        <v>860</v>
      </c>
      <c r="AZ153" s="9" t="s">
        <v>860</v>
      </c>
    </row>
    <row r="154" spans="1:94" s="9" customFormat="1" ht="15" customHeight="1" x14ac:dyDescent="0.25">
      <c r="A154" s="23" t="s">
        <v>803</v>
      </c>
      <c r="CN154" s="9">
        <v>200</v>
      </c>
      <c r="CO154" s="9">
        <v>90</v>
      </c>
      <c r="CP154" s="9">
        <v>269</v>
      </c>
    </row>
    <row r="155" spans="1:94" s="9" customFormat="1" ht="15" customHeight="1" x14ac:dyDescent="0.25">
      <c r="A155" s="23" t="s">
        <v>804</v>
      </c>
      <c r="CN155" s="9">
        <v>200</v>
      </c>
      <c r="CO155" s="9">
        <v>90</v>
      </c>
      <c r="CP155" s="9">
        <v>269</v>
      </c>
    </row>
    <row r="156" spans="1:94" s="9" customFormat="1" ht="15" customHeight="1" x14ac:dyDescent="0.25">
      <c r="A156" s="23" t="s">
        <v>805</v>
      </c>
      <c r="CN156" s="9" t="s">
        <v>802</v>
      </c>
      <c r="CO156" s="9" t="s">
        <v>802</v>
      </c>
      <c r="CP156" s="9" t="s">
        <v>802</v>
      </c>
    </row>
    <row r="157" spans="1:94" s="9" customFormat="1" ht="15" customHeight="1" x14ac:dyDescent="0.25">
      <c r="A157" s="23" t="s">
        <v>722</v>
      </c>
      <c r="AX157" s="9">
        <v>35</v>
      </c>
      <c r="AY157" s="9">
        <v>35</v>
      </c>
      <c r="AZ157" s="9">
        <v>35</v>
      </c>
      <c r="BH157" s="9">
        <v>32</v>
      </c>
      <c r="BJ157" s="9">
        <v>15</v>
      </c>
      <c r="BK157" s="9">
        <v>34</v>
      </c>
      <c r="BL157" s="9">
        <v>34</v>
      </c>
      <c r="BM157" s="9">
        <v>36</v>
      </c>
      <c r="BN157" s="9">
        <v>48</v>
      </c>
      <c r="BO157" s="9">
        <v>48</v>
      </c>
      <c r="BP157" s="9">
        <v>48</v>
      </c>
      <c r="BQ157" s="9">
        <v>48</v>
      </c>
      <c r="BR157" s="9">
        <v>45</v>
      </c>
      <c r="BS157" s="9">
        <v>48</v>
      </c>
      <c r="BT157" s="9">
        <v>48</v>
      </c>
      <c r="BY157" s="9">
        <v>40</v>
      </c>
    </row>
    <row r="158" spans="1:94" s="9" customFormat="1" ht="15" customHeight="1" x14ac:dyDescent="0.25">
      <c r="A158" s="23" t="s">
        <v>723</v>
      </c>
      <c r="AX158" s="9">
        <v>35</v>
      </c>
      <c r="AY158" s="9">
        <v>35</v>
      </c>
      <c r="AZ158" s="9">
        <v>35</v>
      </c>
      <c r="BH158" s="9">
        <v>32</v>
      </c>
      <c r="BK158" s="9">
        <v>34</v>
      </c>
      <c r="BL158" s="9">
        <v>34</v>
      </c>
      <c r="BM158" s="9">
        <v>36</v>
      </c>
      <c r="BY158" s="9">
        <v>40</v>
      </c>
    </row>
    <row r="159" spans="1:94" s="9" customFormat="1" ht="15" customHeight="1" x14ac:dyDescent="0.25">
      <c r="A159" s="23" t="s">
        <v>724</v>
      </c>
      <c r="AX159" s="9" t="s">
        <v>380</v>
      </c>
      <c r="AY159" s="9" t="s">
        <v>380</v>
      </c>
      <c r="AZ159" s="9" t="s">
        <v>380</v>
      </c>
      <c r="BH159" s="9" t="s">
        <v>380</v>
      </c>
      <c r="BJ159" s="9" t="s">
        <v>380</v>
      </c>
      <c r="BK159" s="9" t="s">
        <v>380</v>
      </c>
      <c r="BL159" s="9" t="s">
        <v>380</v>
      </c>
      <c r="BM159" s="9" t="s">
        <v>380</v>
      </c>
      <c r="BN159" s="9" t="s">
        <v>380</v>
      </c>
      <c r="BO159" s="9" t="s">
        <v>380</v>
      </c>
      <c r="BP159" s="9" t="s">
        <v>380</v>
      </c>
      <c r="BQ159" s="9" t="s">
        <v>380</v>
      </c>
      <c r="BR159" s="9" t="s">
        <v>380</v>
      </c>
      <c r="BS159" s="9" t="s">
        <v>380</v>
      </c>
      <c r="BT159" s="9" t="s">
        <v>380</v>
      </c>
      <c r="BY159" s="9" t="s">
        <v>380</v>
      </c>
    </row>
    <row r="160" spans="1:94" s="9" customFormat="1" ht="15" customHeight="1" x14ac:dyDescent="0.25">
      <c r="A160" s="23" t="s">
        <v>725</v>
      </c>
      <c r="AX160" s="9" t="s">
        <v>726</v>
      </c>
      <c r="AY160" s="9" t="s">
        <v>726</v>
      </c>
      <c r="AZ160" s="9" t="s">
        <v>726</v>
      </c>
      <c r="BH160" s="9" t="s">
        <v>726</v>
      </c>
      <c r="BJ160" s="9" t="s">
        <v>721</v>
      </c>
      <c r="BK160" s="9" t="s">
        <v>726</v>
      </c>
      <c r="BL160" s="9" t="s">
        <v>726</v>
      </c>
      <c r="BM160" s="9" t="s">
        <v>726</v>
      </c>
      <c r="BY160" s="9" t="s">
        <v>910</v>
      </c>
    </row>
    <row r="161" spans="1:94" s="9" customFormat="1" ht="15" customHeight="1" x14ac:dyDescent="0.25">
      <c r="A161" s="23" t="s">
        <v>847</v>
      </c>
      <c r="CP161" s="9">
        <v>2.2999999999999998</v>
      </c>
    </row>
    <row r="162" spans="1:94" s="9" customFormat="1" ht="15" customHeight="1" x14ac:dyDescent="0.25">
      <c r="A162" s="23" t="s">
        <v>848</v>
      </c>
      <c r="CP162" s="9">
        <v>2.2999999999999998</v>
      </c>
    </row>
    <row r="163" spans="1:94" s="9" customFormat="1" ht="15" customHeight="1" x14ac:dyDescent="0.25">
      <c r="A163" s="23" t="s">
        <v>849</v>
      </c>
    </row>
    <row r="164" spans="1:94" s="9" customFormat="1" ht="15" customHeight="1" x14ac:dyDescent="0.25">
      <c r="A164" s="23" t="s">
        <v>850</v>
      </c>
      <c r="CP164" s="9" t="s">
        <v>855</v>
      </c>
    </row>
    <row r="165" spans="1:94" s="9" customFormat="1" ht="15" customHeight="1" x14ac:dyDescent="0.25">
      <c r="A165" s="23" t="s">
        <v>851</v>
      </c>
      <c r="CP165" s="9">
        <v>27</v>
      </c>
    </row>
    <row r="166" spans="1:94" s="9" customFormat="1" ht="15" customHeight="1" x14ac:dyDescent="0.25">
      <c r="A166" s="23" t="s">
        <v>852</v>
      </c>
      <c r="CP166" s="9">
        <v>27</v>
      </c>
    </row>
    <row r="167" spans="1:94" s="9" customFormat="1" ht="15" customHeight="1" x14ac:dyDescent="0.25">
      <c r="A167" s="23" t="s">
        <v>853</v>
      </c>
    </row>
    <row r="168" spans="1:94" s="9" customFormat="1" ht="15" customHeight="1" x14ac:dyDescent="0.25">
      <c r="A168" s="23" t="s">
        <v>854</v>
      </c>
      <c r="CP168" s="9" t="s">
        <v>855</v>
      </c>
    </row>
    <row r="169" spans="1:94" s="9" customFormat="1" ht="15" customHeight="1" x14ac:dyDescent="0.25">
      <c r="A169" s="23" t="s">
        <v>843</v>
      </c>
      <c r="CN169" s="9">
        <v>18</v>
      </c>
    </row>
    <row r="170" spans="1:94" s="9" customFormat="1" ht="15" customHeight="1" x14ac:dyDescent="0.25">
      <c r="A170" s="23" t="s">
        <v>844</v>
      </c>
      <c r="CN170" s="9">
        <v>18</v>
      </c>
    </row>
    <row r="171" spans="1:94" s="9" customFormat="1" ht="15" customHeight="1" x14ac:dyDescent="0.25">
      <c r="A171" s="23" t="s">
        <v>845</v>
      </c>
    </row>
    <row r="172" spans="1:94" s="9" customFormat="1" ht="15" customHeight="1" x14ac:dyDescent="0.25">
      <c r="A172" s="23" t="s">
        <v>846</v>
      </c>
      <c r="CN172" s="9" t="s">
        <v>815</v>
      </c>
    </row>
    <row r="173" spans="1:94" s="9" customFormat="1" ht="15" customHeight="1" x14ac:dyDescent="0.25">
      <c r="A173" s="23" t="s">
        <v>810</v>
      </c>
      <c r="CN173" s="9">
        <v>15</v>
      </c>
      <c r="CO173" s="9">
        <v>3.2</v>
      </c>
    </row>
    <row r="174" spans="1:94" s="9" customFormat="1" ht="15" customHeight="1" x14ac:dyDescent="0.25">
      <c r="A174" s="23" t="s">
        <v>811</v>
      </c>
      <c r="CN174" s="9">
        <v>15</v>
      </c>
      <c r="CO174" s="9">
        <v>3.2</v>
      </c>
    </row>
    <row r="175" spans="1:94" s="9" customFormat="1" ht="15" customHeight="1" x14ac:dyDescent="0.25">
      <c r="A175" s="23" t="s">
        <v>812</v>
      </c>
      <c r="CN175" s="9" t="s">
        <v>814</v>
      </c>
      <c r="CO175" s="9" t="s">
        <v>814</v>
      </c>
    </row>
    <row r="176" spans="1:94" s="9" customFormat="1" ht="15" customHeight="1" x14ac:dyDescent="0.25">
      <c r="A176" s="23" t="s">
        <v>813</v>
      </c>
      <c r="CN176" s="9" t="s">
        <v>816</v>
      </c>
      <c r="CO176" s="9" t="s">
        <v>833</v>
      </c>
    </row>
    <row r="177" spans="1:91" s="9" customFormat="1" ht="15" customHeight="1" x14ac:dyDescent="0.25">
      <c r="A177" s="23" t="s">
        <v>377</v>
      </c>
      <c r="AX177" s="9">
        <v>7</v>
      </c>
      <c r="AY177" s="9">
        <v>7</v>
      </c>
      <c r="AZ177" s="9">
        <v>7</v>
      </c>
      <c r="BA177" s="9">
        <v>30</v>
      </c>
      <c r="BC177" s="9">
        <v>8</v>
      </c>
      <c r="BH177" s="9">
        <v>6</v>
      </c>
      <c r="BI177" s="9">
        <v>7</v>
      </c>
      <c r="BJ177" s="9">
        <v>5</v>
      </c>
      <c r="BK177" s="9">
        <v>6</v>
      </c>
      <c r="BL177" s="9">
        <v>6</v>
      </c>
      <c r="BM177" s="9">
        <v>6</v>
      </c>
      <c r="BN177" s="9">
        <v>30</v>
      </c>
      <c r="BO177" s="9">
        <v>30</v>
      </c>
      <c r="BP177" s="9">
        <v>30</v>
      </c>
      <c r="BQ177" s="9">
        <v>30</v>
      </c>
      <c r="BR177" s="9">
        <v>30</v>
      </c>
      <c r="BS177" s="9">
        <v>30</v>
      </c>
      <c r="BT177" s="9">
        <v>30</v>
      </c>
      <c r="BU177" s="9">
        <v>35</v>
      </c>
      <c r="BV177" s="9">
        <v>35</v>
      </c>
      <c r="BW177" s="9">
        <v>37</v>
      </c>
      <c r="BY177" s="9">
        <v>20</v>
      </c>
      <c r="CM177" s="9">
        <v>45</v>
      </c>
    </row>
    <row r="178" spans="1:91" s="9" customFormat="1" ht="15" customHeight="1" x14ac:dyDescent="0.25">
      <c r="A178" s="23" t="s">
        <v>378</v>
      </c>
      <c r="AX178" s="9">
        <v>13</v>
      </c>
      <c r="AY178" s="9">
        <v>13</v>
      </c>
      <c r="AZ178" s="9">
        <v>15</v>
      </c>
      <c r="BA178" s="9">
        <v>45</v>
      </c>
      <c r="BC178" s="9">
        <v>12</v>
      </c>
      <c r="BH178" s="9">
        <v>12</v>
      </c>
      <c r="BI178" s="9">
        <v>13</v>
      </c>
      <c r="BJ178" s="9">
        <v>15</v>
      </c>
      <c r="BK178" s="9">
        <v>12</v>
      </c>
      <c r="BL178" s="9">
        <v>12</v>
      </c>
      <c r="BM178" s="9">
        <v>12</v>
      </c>
      <c r="BN178" s="9">
        <v>40</v>
      </c>
      <c r="BO178" s="9">
        <v>40</v>
      </c>
      <c r="BP178" s="9">
        <v>40</v>
      </c>
      <c r="BQ178" s="9">
        <v>40</v>
      </c>
      <c r="BR178" s="9">
        <v>50</v>
      </c>
      <c r="BS178" s="9">
        <v>40</v>
      </c>
      <c r="BT178" s="9">
        <v>40</v>
      </c>
      <c r="BU178" s="9">
        <v>35</v>
      </c>
      <c r="BV178" s="9">
        <v>35</v>
      </c>
      <c r="BW178" s="9">
        <v>37</v>
      </c>
      <c r="BY178" s="9">
        <v>20</v>
      </c>
    </row>
    <row r="179" spans="1:91" s="9" customFormat="1" ht="15" customHeight="1" x14ac:dyDescent="0.25">
      <c r="A179" s="23" t="s">
        <v>414</v>
      </c>
      <c r="AX179" s="9" t="s">
        <v>379</v>
      </c>
      <c r="AY179" s="9" t="s">
        <v>379</v>
      </c>
      <c r="AZ179" s="9" t="s">
        <v>379</v>
      </c>
      <c r="BA179" s="9" t="s">
        <v>379</v>
      </c>
      <c r="BC179" s="9" t="s">
        <v>379</v>
      </c>
      <c r="BH179" s="9" t="s">
        <v>379</v>
      </c>
      <c r="BI179" s="9" t="s">
        <v>379</v>
      </c>
      <c r="BJ179" s="9" t="s">
        <v>379</v>
      </c>
      <c r="BK179" s="9" t="s">
        <v>379</v>
      </c>
      <c r="BL179" s="9" t="s">
        <v>379</v>
      </c>
      <c r="BM179" s="9" t="s">
        <v>379</v>
      </c>
      <c r="BN179" s="9" t="s">
        <v>379</v>
      </c>
      <c r="BO179" s="9" t="s">
        <v>379</v>
      </c>
      <c r="BP179" s="9" t="s">
        <v>379</v>
      </c>
      <c r="BQ179" s="9" t="s">
        <v>379</v>
      </c>
      <c r="BR179" s="9" t="s">
        <v>379</v>
      </c>
      <c r="BS179" s="9" t="s">
        <v>379</v>
      </c>
      <c r="BT179" s="9" t="s">
        <v>379</v>
      </c>
      <c r="BU179" s="9" t="s">
        <v>379</v>
      </c>
      <c r="BV179" s="9" t="s">
        <v>379</v>
      </c>
      <c r="BW179" s="9" t="s">
        <v>379</v>
      </c>
      <c r="BY179" s="9" t="s">
        <v>379</v>
      </c>
    </row>
    <row r="180" spans="1:91" s="9" customFormat="1" ht="15" customHeight="1" x14ac:dyDescent="0.25">
      <c r="A180" s="23" t="s">
        <v>747</v>
      </c>
      <c r="AX180" s="9" t="s">
        <v>981</v>
      </c>
      <c r="AY180" s="9" t="s">
        <v>981</v>
      </c>
      <c r="AZ180" s="9" t="s">
        <v>981</v>
      </c>
      <c r="BH180" s="9" t="s">
        <v>981</v>
      </c>
      <c r="BI180" s="9" t="s">
        <v>981</v>
      </c>
      <c r="BK180" s="9" t="s">
        <v>981</v>
      </c>
      <c r="BL180" s="9" t="s">
        <v>981</v>
      </c>
      <c r="BM180" s="9" t="s">
        <v>981</v>
      </c>
    </row>
    <row r="181" spans="1:91" s="9" customFormat="1" ht="15" customHeight="1" x14ac:dyDescent="0.25">
      <c r="A181" s="23" t="s">
        <v>382</v>
      </c>
      <c r="AX181" s="9">
        <v>14</v>
      </c>
      <c r="AY181" s="9">
        <v>14</v>
      </c>
      <c r="BI181" s="9">
        <v>10</v>
      </c>
      <c r="BK181" s="9">
        <v>8</v>
      </c>
      <c r="BL181" s="9">
        <v>8</v>
      </c>
      <c r="BM181" s="9">
        <v>8</v>
      </c>
    </row>
    <row r="182" spans="1:91" s="9" customFormat="1" ht="15" customHeight="1" x14ac:dyDescent="0.25">
      <c r="A182" s="23" t="s">
        <v>383</v>
      </c>
      <c r="AX182" s="9">
        <v>14</v>
      </c>
      <c r="AY182" s="9">
        <v>14</v>
      </c>
      <c r="AZ182" s="9">
        <v>15</v>
      </c>
      <c r="BI182" s="9">
        <v>10</v>
      </c>
      <c r="BK182" s="9">
        <v>10</v>
      </c>
      <c r="BL182" s="9">
        <v>10</v>
      </c>
      <c r="BM182" s="9">
        <v>10</v>
      </c>
    </row>
    <row r="183" spans="1:91" s="9" customFormat="1" ht="15" customHeight="1" x14ac:dyDescent="0.25">
      <c r="A183" s="23" t="s">
        <v>384</v>
      </c>
      <c r="AX183" s="9" t="s">
        <v>385</v>
      </c>
      <c r="AY183" s="9" t="s">
        <v>385</v>
      </c>
      <c r="AZ183" s="9" t="s">
        <v>385</v>
      </c>
      <c r="BI183" s="9" t="s">
        <v>501</v>
      </c>
      <c r="BK183" s="9" t="s">
        <v>501</v>
      </c>
      <c r="BL183" s="9" t="s">
        <v>501</v>
      </c>
      <c r="BM183" s="9" t="s">
        <v>501</v>
      </c>
    </row>
    <row r="184" spans="1:91" s="9" customFormat="1" ht="15" customHeight="1" x14ac:dyDescent="0.25">
      <c r="A184" s="23" t="s">
        <v>748</v>
      </c>
    </row>
    <row r="185" spans="1:91" s="9" customFormat="1" ht="15" customHeight="1" x14ac:dyDescent="0.25">
      <c r="A185" s="23" t="s">
        <v>749</v>
      </c>
      <c r="AX185" s="9">
        <v>50</v>
      </c>
      <c r="AY185" s="9">
        <v>50</v>
      </c>
      <c r="AZ185" s="9">
        <v>55</v>
      </c>
      <c r="BI185" s="9">
        <v>50</v>
      </c>
      <c r="BK185" s="9">
        <v>50</v>
      </c>
      <c r="BL185" s="9">
        <v>50</v>
      </c>
      <c r="BM185" s="9">
        <v>50</v>
      </c>
    </row>
    <row r="186" spans="1:91" s="9" customFormat="1" ht="15" customHeight="1" x14ac:dyDescent="0.25">
      <c r="A186" s="23" t="s">
        <v>750</v>
      </c>
      <c r="AX186" s="9" t="s">
        <v>385</v>
      </c>
      <c r="AY186" s="9" t="s">
        <v>385</v>
      </c>
      <c r="AZ186" s="9" t="s">
        <v>385</v>
      </c>
      <c r="BI186" s="9">
        <v>50</v>
      </c>
      <c r="BK186" s="9" t="s">
        <v>501</v>
      </c>
      <c r="BL186" s="9" t="s">
        <v>501</v>
      </c>
      <c r="BM186" s="9" t="s">
        <v>501</v>
      </c>
    </row>
    <row r="187" spans="1:91" s="9" customFormat="1" ht="15" customHeight="1" x14ac:dyDescent="0.25">
      <c r="A187" s="23" t="s">
        <v>751</v>
      </c>
    </row>
    <row r="188" spans="1:91" s="9" customFormat="1" ht="15" customHeight="1" x14ac:dyDescent="0.25">
      <c r="A188" s="23" t="s">
        <v>527</v>
      </c>
      <c r="AW188" s="9">
        <v>100</v>
      </c>
      <c r="BU188" s="9">
        <v>49</v>
      </c>
      <c r="BV188" s="9">
        <v>49</v>
      </c>
      <c r="BW188" s="9">
        <v>48</v>
      </c>
      <c r="CA188" s="9">
        <v>200</v>
      </c>
      <c r="CB188" s="9">
        <v>200</v>
      </c>
      <c r="CC188" s="9">
        <v>200</v>
      </c>
      <c r="CD188" s="9">
        <v>200</v>
      </c>
      <c r="CE188" s="9">
        <v>200</v>
      </c>
      <c r="CF188" s="9">
        <v>200</v>
      </c>
      <c r="CG188" s="9">
        <v>200</v>
      </c>
      <c r="CH188" s="9">
        <v>200</v>
      </c>
      <c r="CI188" s="9">
        <v>200</v>
      </c>
      <c r="CJ188" s="9">
        <v>200</v>
      </c>
      <c r="CK188" s="9">
        <v>200</v>
      </c>
      <c r="CL188" s="9">
        <v>200</v>
      </c>
      <c r="CM188" s="9">
        <v>200</v>
      </c>
    </row>
    <row r="189" spans="1:91" s="9" customFormat="1" ht="15" customHeight="1" x14ac:dyDescent="0.25">
      <c r="A189" s="23" t="s">
        <v>528</v>
      </c>
      <c r="AW189" s="9">
        <v>100</v>
      </c>
      <c r="CA189" s="9">
        <v>200</v>
      </c>
      <c r="CB189" s="9">
        <v>200</v>
      </c>
      <c r="CC189" s="9">
        <v>200</v>
      </c>
      <c r="CD189" s="9">
        <v>200</v>
      </c>
      <c r="CE189" s="9">
        <v>200</v>
      </c>
      <c r="CF189" s="9">
        <v>200</v>
      </c>
      <c r="CG189" s="9">
        <v>200</v>
      </c>
      <c r="CH189" s="9">
        <v>200</v>
      </c>
      <c r="CI189" s="9">
        <v>200</v>
      </c>
      <c r="CJ189" s="9">
        <v>200</v>
      </c>
      <c r="CK189" s="9">
        <v>200</v>
      </c>
      <c r="CL189" s="9">
        <v>200</v>
      </c>
      <c r="CM189" s="9">
        <v>200</v>
      </c>
    </row>
    <row r="190" spans="1:91" s="9" customFormat="1" ht="15" customHeight="1" x14ac:dyDescent="0.25">
      <c r="A190" s="23" t="s">
        <v>529</v>
      </c>
      <c r="BU190" s="9" t="s">
        <v>380</v>
      </c>
      <c r="BV190" s="9" t="s">
        <v>380</v>
      </c>
      <c r="BW190" s="9" t="s">
        <v>380</v>
      </c>
    </row>
    <row r="191" spans="1:91" s="9" customFormat="1" ht="15" customHeight="1" x14ac:dyDescent="0.25">
      <c r="A191" s="23" t="s">
        <v>530</v>
      </c>
      <c r="BU191" s="9" t="s">
        <v>666</v>
      </c>
      <c r="BV191" s="9" t="s">
        <v>666</v>
      </c>
      <c r="BW191" s="9" t="s">
        <v>666</v>
      </c>
      <c r="CA191" s="9" t="s">
        <v>871</v>
      </c>
      <c r="CB191" s="9" t="s">
        <v>871</v>
      </c>
      <c r="CC191" s="9" t="s">
        <v>871</v>
      </c>
      <c r="CD191" s="9" t="s">
        <v>872</v>
      </c>
      <c r="CE191" s="9" t="s">
        <v>872</v>
      </c>
      <c r="CF191" s="9" t="s">
        <v>872</v>
      </c>
      <c r="CG191" s="9" t="s">
        <v>873</v>
      </c>
      <c r="CH191" s="9" t="s">
        <v>873</v>
      </c>
      <c r="CI191" s="9" t="s">
        <v>873</v>
      </c>
      <c r="CJ191" s="9" t="s">
        <v>873</v>
      </c>
      <c r="CK191" s="9" t="s">
        <v>873</v>
      </c>
      <c r="CL191" s="9" t="s">
        <v>872</v>
      </c>
      <c r="CM191" s="9" t="s">
        <v>873</v>
      </c>
    </row>
    <row r="192" spans="1:91" s="9" customFormat="1" ht="15" customHeight="1" x14ac:dyDescent="0.25">
      <c r="A192" s="23" t="s">
        <v>415</v>
      </c>
      <c r="BA192" s="9">
        <v>35</v>
      </c>
      <c r="BB192" s="9">
        <v>35</v>
      </c>
      <c r="BC192" s="9">
        <v>45</v>
      </c>
      <c r="BH192" s="9">
        <v>50</v>
      </c>
      <c r="BI192" s="9">
        <v>50</v>
      </c>
      <c r="BJ192" s="9">
        <v>45</v>
      </c>
      <c r="BK192" s="9">
        <v>55</v>
      </c>
      <c r="BL192" s="9">
        <v>55</v>
      </c>
      <c r="BM192" s="9">
        <v>55</v>
      </c>
      <c r="BN192" s="9">
        <v>15</v>
      </c>
      <c r="BO192" s="9">
        <v>15</v>
      </c>
      <c r="BP192" s="9">
        <v>15</v>
      </c>
      <c r="BQ192" s="9">
        <v>15</v>
      </c>
      <c r="BR192" s="9">
        <v>10</v>
      </c>
      <c r="BS192" s="9">
        <v>15</v>
      </c>
      <c r="BT192" s="9">
        <v>15</v>
      </c>
      <c r="BU192" s="9">
        <v>20</v>
      </c>
      <c r="BV192" s="9">
        <v>20</v>
      </c>
      <c r="BW192" s="9">
        <v>17</v>
      </c>
      <c r="BY192" s="9">
        <v>40</v>
      </c>
      <c r="CM192" s="9">
        <v>8</v>
      </c>
    </row>
    <row r="193" spans="1:77" s="9" customFormat="1" ht="15" customHeight="1" x14ac:dyDescent="0.25">
      <c r="A193" s="23" t="s">
        <v>416</v>
      </c>
      <c r="BA193" s="9">
        <v>35</v>
      </c>
      <c r="BB193" s="9">
        <v>35</v>
      </c>
      <c r="BE193" s="9">
        <f>7/200</f>
        <v>3.5000000000000003E-2</v>
      </c>
      <c r="BN193" s="9">
        <v>20</v>
      </c>
      <c r="BO193" s="9">
        <v>20</v>
      </c>
      <c r="BP193" s="9">
        <v>20</v>
      </c>
      <c r="BQ193" s="9">
        <v>20</v>
      </c>
      <c r="BR193" s="9">
        <v>15</v>
      </c>
      <c r="BS193" s="9">
        <v>20</v>
      </c>
      <c r="BT193" s="9">
        <v>20</v>
      </c>
      <c r="BY193" s="9">
        <v>40</v>
      </c>
    </row>
    <row r="194" spans="1:77" s="9" customFormat="1" ht="15" customHeight="1" x14ac:dyDescent="0.25">
      <c r="A194" s="23" t="s">
        <v>417</v>
      </c>
      <c r="BA194" s="9" t="s">
        <v>385</v>
      </c>
      <c r="BB194" s="9" t="s">
        <v>385</v>
      </c>
      <c r="BC194" s="9" t="s">
        <v>385</v>
      </c>
      <c r="BH194" s="9" t="s">
        <v>385</v>
      </c>
      <c r="BI194" s="9" t="s">
        <v>385</v>
      </c>
      <c r="BJ194" s="9" t="s">
        <v>379</v>
      </c>
      <c r="BK194" s="9" t="s">
        <v>385</v>
      </c>
      <c r="BL194" s="9" t="s">
        <v>385</v>
      </c>
      <c r="BM194" s="9" t="s">
        <v>385</v>
      </c>
      <c r="BN194" s="9" t="s">
        <v>501</v>
      </c>
      <c r="BO194" s="9" t="s">
        <v>501</v>
      </c>
      <c r="BP194" s="9" t="s">
        <v>501</v>
      </c>
      <c r="BQ194" s="9" t="s">
        <v>501</v>
      </c>
      <c r="BR194" s="9" t="s">
        <v>501</v>
      </c>
      <c r="BS194" s="9" t="s">
        <v>501</v>
      </c>
      <c r="BT194" s="9" t="s">
        <v>501</v>
      </c>
      <c r="BU194" s="9" t="s">
        <v>692</v>
      </c>
      <c r="BV194" s="9" t="s">
        <v>692</v>
      </c>
      <c r="BW194" s="9" t="s">
        <v>692</v>
      </c>
      <c r="BY194" s="9" t="s">
        <v>753</v>
      </c>
    </row>
    <row r="195" spans="1:77" s="9" customFormat="1" ht="15" customHeight="1" x14ac:dyDescent="0.25">
      <c r="A195" s="23" t="s">
        <v>754</v>
      </c>
      <c r="BH195" s="9" t="s">
        <v>752</v>
      </c>
      <c r="BI195" s="9" t="s">
        <v>752</v>
      </c>
      <c r="BK195" s="9" t="s">
        <v>752</v>
      </c>
      <c r="BL195" s="9" t="s">
        <v>752</v>
      </c>
      <c r="BM195" s="9" t="s">
        <v>752</v>
      </c>
    </row>
    <row r="196" spans="1:77" s="9" customFormat="1" ht="15" customHeight="1" x14ac:dyDescent="0.25">
      <c r="A196" s="23" t="s">
        <v>755</v>
      </c>
      <c r="AX196" s="9">
        <v>150</v>
      </c>
      <c r="AY196" s="9">
        <v>150</v>
      </c>
      <c r="AZ196" s="9">
        <v>150</v>
      </c>
      <c r="BH196" s="9">
        <v>150</v>
      </c>
      <c r="BK196" s="9">
        <v>150</v>
      </c>
      <c r="BL196" s="9">
        <v>150</v>
      </c>
      <c r="BM196" s="9">
        <v>150</v>
      </c>
    </row>
    <row r="197" spans="1:77" s="9" customFormat="1" ht="15" customHeight="1" x14ac:dyDescent="0.25">
      <c r="A197" s="23" t="s">
        <v>756</v>
      </c>
      <c r="AX197" s="9">
        <v>150</v>
      </c>
      <c r="AY197" s="9">
        <v>150</v>
      </c>
      <c r="AZ197" s="9">
        <v>150</v>
      </c>
      <c r="BH197" s="9">
        <v>150</v>
      </c>
      <c r="BK197" s="9">
        <v>150</v>
      </c>
      <c r="BL197" s="9">
        <v>150</v>
      </c>
      <c r="BM197" s="9">
        <v>150</v>
      </c>
    </row>
    <row r="198" spans="1:77" s="9" customFormat="1" ht="15" customHeight="1" x14ac:dyDescent="0.25">
      <c r="A198" s="23" t="s">
        <v>757</v>
      </c>
      <c r="AX198" s="9">
        <v>50</v>
      </c>
      <c r="AY198" s="9">
        <v>50</v>
      </c>
      <c r="AZ198" s="9">
        <v>50</v>
      </c>
      <c r="BH198" s="9">
        <v>50</v>
      </c>
      <c r="BK198" s="9">
        <v>50</v>
      </c>
      <c r="BL198" s="9">
        <v>50</v>
      </c>
      <c r="BM198" s="9">
        <v>50</v>
      </c>
    </row>
    <row r="199" spans="1:77" s="9" customFormat="1" ht="15" customHeight="1" x14ac:dyDescent="0.25">
      <c r="A199" s="23" t="s">
        <v>758</v>
      </c>
      <c r="AX199" s="9">
        <v>50</v>
      </c>
      <c r="AY199" s="9">
        <v>50</v>
      </c>
      <c r="AZ199" s="9">
        <v>50</v>
      </c>
      <c r="BH199" s="9">
        <v>50</v>
      </c>
      <c r="BK199" s="9">
        <v>50</v>
      </c>
      <c r="BL199" s="9">
        <v>50</v>
      </c>
      <c r="BM199" s="9">
        <v>50</v>
      </c>
    </row>
    <row r="200" spans="1:77" s="9" customFormat="1" ht="15" customHeight="1" x14ac:dyDescent="0.25">
      <c r="A200" s="23" t="s">
        <v>874</v>
      </c>
      <c r="AX200" s="9">
        <v>0.5</v>
      </c>
      <c r="AY200" s="9">
        <v>0.5</v>
      </c>
      <c r="AZ200" s="9">
        <v>2</v>
      </c>
      <c r="BH200" s="9">
        <v>1</v>
      </c>
      <c r="BK200" s="9">
        <v>1</v>
      </c>
      <c r="BL200" s="9">
        <v>1</v>
      </c>
      <c r="BM200" s="9">
        <v>2</v>
      </c>
    </row>
    <row r="201" spans="1:77" s="9" customFormat="1" ht="15" customHeight="1" x14ac:dyDescent="0.25">
      <c r="A201" s="23" t="s">
        <v>499</v>
      </c>
      <c r="AX201" s="9" t="s">
        <v>381</v>
      </c>
      <c r="AY201" s="9" t="s">
        <v>381</v>
      </c>
      <c r="AZ201" s="9" t="s">
        <v>381</v>
      </c>
      <c r="BH201" s="9" t="s">
        <v>381</v>
      </c>
      <c r="BK201" s="9" t="s">
        <v>381</v>
      </c>
      <c r="BL201" s="9" t="s">
        <v>381</v>
      </c>
      <c r="BM201" s="9" t="s">
        <v>381</v>
      </c>
    </row>
    <row r="202" spans="1:77" s="9" customFormat="1" ht="15" customHeight="1" x14ac:dyDescent="0.25">
      <c r="A202" s="23" t="s">
        <v>898</v>
      </c>
      <c r="BS202" s="9">
        <v>1.6E-2</v>
      </c>
      <c r="BT202" s="9">
        <v>1.6E-2</v>
      </c>
    </row>
    <row r="203" spans="1:77" s="9" customFormat="1" ht="15" customHeight="1" x14ac:dyDescent="0.25">
      <c r="A203" s="23" t="s">
        <v>899</v>
      </c>
      <c r="BC203" s="9">
        <v>0.01</v>
      </c>
      <c r="BK203" s="9">
        <v>0.1</v>
      </c>
      <c r="BL203" s="9">
        <v>0.1</v>
      </c>
      <c r="BS203" s="9">
        <v>1.6E-2</v>
      </c>
      <c r="BT203" s="9">
        <v>1.6E-2</v>
      </c>
      <c r="BU203" s="9">
        <v>0.02</v>
      </c>
      <c r="BV203" s="9">
        <v>0.02</v>
      </c>
      <c r="BW203" s="9">
        <v>0.02</v>
      </c>
    </row>
    <row r="204" spans="1:77" s="9" customFormat="1" ht="15" customHeight="1" x14ac:dyDescent="0.25">
      <c r="A204" s="23" t="s">
        <v>500</v>
      </c>
      <c r="BC204" s="9" t="s">
        <v>443</v>
      </c>
      <c r="BK204" s="9" t="s">
        <v>430</v>
      </c>
      <c r="BL204" s="9" t="s">
        <v>430</v>
      </c>
      <c r="BS204" s="9" t="s">
        <v>631</v>
      </c>
      <c r="BT204" s="9" t="s">
        <v>631</v>
      </c>
      <c r="BU204" s="9" t="s">
        <v>631</v>
      </c>
      <c r="BV204" s="9" t="s">
        <v>631</v>
      </c>
      <c r="BW204" s="9" t="s">
        <v>631</v>
      </c>
    </row>
    <row r="205" spans="1:77" s="9" customFormat="1" ht="15" customHeight="1" x14ac:dyDescent="0.25">
      <c r="A205" s="23" t="s">
        <v>875</v>
      </c>
      <c r="AF205" s="11">
        <v>5.0000000000000001E-4</v>
      </c>
      <c r="AG205" s="11"/>
      <c r="AH205" s="11">
        <v>5.0000000000000001E-4</v>
      </c>
      <c r="AI205" s="11">
        <v>5.0000000000000001E-4</v>
      </c>
      <c r="BK205" s="11"/>
      <c r="BL205" s="11"/>
      <c r="BM205" s="11"/>
    </row>
    <row r="206" spans="1:77" s="9" customFormat="1" ht="15" customHeight="1" x14ac:dyDescent="0.25">
      <c r="A206" s="23" t="s">
        <v>876</v>
      </c>
      <c r="AF206" s="11">
        <v>5.0000000000000001E-4</v>
      </c>
      <c r="AG206" s="11"/>
      <c r="AH206" s="11">
        <v>5.0000000000000001E-4</v>
      </c>
      <c r="AI206" s="11">
        <v>5.0000000000000001E-4</v>
      </c>
      <c r="AX206" s="9">
        <v>1.2099999999999999E-3</v>
      </c>
      <c r="AY206" s="9">
        <v>1.2099999999999999E-3</v>
      </c>
      <c r="BK206" s="11">
        <v>1.2099999999999999E-3</v>
      </c>
      <c r="BL206" s="11">
        <v>1.2099999999999999E-3</v>
      </c>
      <c r="BM206" s="11"/>
      <c r="BN206" s="9">
        <v>1.3299999999999999E-2</v>
      </c>
      <c r="BO206" s="9">
        <v>1.3299999999999999E-2</v>
      </c>
      <c r="BP206" s="9">
        <v>1.3299999999999999E-2</v>
      </c>
      <c r="BQ206" s="9">
        <v>1.3299999999999999E-2</v>
      </c>
      <c r="BR206" s="9">
        <v>3.3E-3</v>
      </c>
      <c r="BT206" s="9">
        <v>1.3299999999999999E-2</v>
      </c>
    </row>
    <row r="207" spans="1:77" s="9" customFormat="1" ht="15" customHeight="1" x14ac:dyDescent="0.25">
      <c r="A207" s="23" t="s">
        <v>788</v>
      </c>
      <c r="BK207" s="11"/>
      <c r="BL207" s="11"/>
      <c r="BM207" s="11"/>
      <c r="BN207" s="9" t="s">
        <v>381</v>
      </c>
      <c r="BO207" s="9" t="s">
        <v>381</v>
      </c>
      <c r="BP207" s="9" t="s">
        <v>381</v>
      </c>
      <c r="BQ207" s="9" t="s">
        <v>381</v>
      </c>
      <c r="BR207" s="9" t="s">
        <v>381</v>
      </c>
      <c r="BT207" s="9" t="s">
        <v>381</v>
      </c>
    </row>
    <row r="208" spans="1:77" s="9" customFormat="1" ht="15" customHeight="1" x14ac:dyDescent="0.25">
      <c r="A208" s="23" t="s">
        <v>789</v>
      </c>
      <c r="AF208" s="9" t="s">
        <v>786</v>
      </c>
      <c r="AH208" s="9" t="s">
        <v>786</v>
      </c>
      <c r="AI208" s="9" t="s">
        <v>786</v>
      </c>
      <c r="AX208" s="9" t="s">
        <v>760</v>
      </c>
      <c r="AY208" s="9" t="s">
        <v>760</v>
      </c>
      <c r="BK208" s="9" t="s">
        <v>760</v>
      </c>
      <c r="BL208" s="9" t="s">
        <v>760</v>
      </c>
      <c r="BM208" s="11"/>
      <c r="BN208" s="9" t="s">
        <v>760</v>
      </c>
      <c r="BO208" s="9" t="s">
        <v>760</v>
      </c>
      <c r="BP208" s="9" t="s">
        <v>760</v>
      </c>
      <c r="BQ208" s="9" t="s">
        <v>760</v>
      </c>
      <c r="BR208" s="9" t="s">
        <v>760</v>
      </c>
      <c r="BT208" s="9" t="s">
        <v>760</v>
      </c>
    </row>
    <row r="209" spans="1:65" s="9" customFormat="1" ht="15" customHeight="1" x14ac:dyDescent="0.25">
      <c r="A209" s="23" t="s">
        <v>900</v>
      </c>
    </row>
    <row r="210" spans="1:65" s="9" customFormat="1" ht="15" customHeight="1" x14ac:dyDescent="0.25">
      <c r="A210" s="23" t="s">
        <v>901</v>
      </c>
      <c r="BD210" s="10">
        <v>0.1</v>
      </c>
      <c r="BE210" s="11">
        <v>4.9999999999999998E-7</v>
      </c>
    </row>
    <row r="211" spans="1:65" s="9" customFormat="1" ht="15" customHeight="1" x14ac:dyDescent="0.25">
      <c r="A211" s="23" t="s">
        <v>902</v>
      </c>
    </row>
    <row r="212" spans="1:65" s="9" customFormat="1" ht="15" customHeight="1" x14ac:dyDescent="0.25">
      <c r="A212" s="23" t="s">
        <v>790</v>
      </c>
      <c r="BD212" s="9" t="s">
        <v>980</v>
      </c>
      <c r="BE212" s="9" t="s">
        <v>760</v>
      </c>
    </row>
    <row r="213" spans="1:65" s="9" customFormat="1" ht="15" customHeight="1" x14ac:dyDescent="0.25">
      <c r="A213" s="23" t="s">
        <v>897</v>
      </c>
      <c r="BB213" s="9">
        <v>0.01</v>
      </c>
    </row>
    <row r="214" spans="1:65" s="9" customFormat="1" ht="15" customHeight="1" x14ac:dyDescent="0.25">
      <c r="A214" s="23" t="s">
        <v>761</v>
      </c>
      <c r="BB214" s="9" t="s">
        <v>431</v>
      </c>
    </row>
    <row r="215" spans="1:65" s="9" customFormat="1" ht="15" customHeight="1" x14ac:dyDescent="0.25">
      <c r="A215" s="23" t="s">
        <v>762</v>
      </c>
      <c r="BB215" s="9" t="s">
        <v>759</v>
      </c>
    </row>
    <row r="216" spans="1:65" s="9" customFormat="1" ht="15" customHeight="1" x14ac:dyDescent="0.25">
      <c r="A216" s="23" t="s">
        <v>919</v>
      </c>
      <c r="AX216" s="9">
        <v>12</v>
      </c>
      <c r="AY216" s="9">
        <v>12</v>
      </c>
      <c r="AZ216" s="9">
        <v>10</v>
      </c>
      <c r="BI216" s="9">
        <v>12</v>
      </c>
      <c r="BK216" s="9">
        <v>12</v>
      </c>
      <c r="BL216" s="9">
        <v>12</v>
      </c>
      <c r="BM216" s="9">
        <v>12</v>
      </c>
    </row>
    <row r="217" spans="1:65" s="9" customFormat="1" ht="15" customHeight="1" x14ac:dyDescent="0.25">
      <c r="A217" s="23" t="s">
        <v>920</v>
      </c>
      <c r="AX217" s="9" t="s">
        <v>979</v>
      </c>
      <c r="AY217" s="9" t="s">
        <v>979</v>
      </c>
      <c r="AZ217" s="9" t="s">
        <v>979</v>
      </c>
      <c r="BI217" s="9" t="s">
        <v>979</v>
      </c>
      <c r="BK217" s="9" t="s">
        <v>979</v>
      </c>
      <c r="BL217" s="9" t="s">
        <v>979</v>
      </c>
      <c r="BM217" s="9" t="s">
        <v>979</v>
      </c>
    </row>
    <row r="218" spans="1:65" s="9" customFormat="1" ht="15" customHeight="1" x14ac:dyDescent="0.25">
      <c r="A218" s="23" t="s">
        <v>921</v>
      </c>
      <c r="AX218" s="9" t="s">
        <v>916</v>
      </c>
      <c r="AY218" s="9" t="s">
        <v>916</v>
      </c>
      <c r="AZ218" s="9" t="s">
        <v>916</v>
      </c>
      <c r="BI218" s="9" t="s">
        <v>911</v>
      </c>
      <c r="BK218" s="9" t="s">
        <v>911</v>
      </c>
      <c r="BL218" s="9" t="s">
        <v>911</v>
      </c>
      <c r="BM218" s="9" t="s">
        <v>911</v>
      </c>
    </row>
    <row r="219" spans="1:65" s="9" customFormat="1" ht="15" customHeight="1" x14ac:dyDescent="0.25">
      <c r="A219" s="23" t="s">
        <v>949</v>
      </c>
      <c r="AX219" s="9">
        <v>8</v>
      </c>
      <c r="AY219" s="9">
        <v>8</v>
      </c>
      <c r="AZ219" s="9">
        <v>8</v>
      </c>
      <c r="BI219" s="9">
        <v>10</v>
      </c>
      <c r="BJ219" s="9">
        <v>10</v>
      </c>
      <c r="BK219" s="9">
        <v>9</v>
      </c>
      <c r="BL219" s="9">
        <v>9</v>
      </c>
      <c r="BM219" s="9">
        <v>9</v>
      </c>
    </row>
    <row r="220" spans="1:65" s="9" customFormat="1" ht="15" customHeight="1" x14ac:dyDescent="0.25">
      <c r="A220" s="23" t="s">
        <v>950</v>
      </c>
      <c r="AX220" s="9" t="s">
        <v>979</v>
      </c>
      <c r="AY220" s="9" t="s">
        <v>979</v>
      </c>
      <c r="AZ220" s="9" t="s">
        <v>979</v>
      </c>
      <c r="BI220" s="9" t="s">
        <v>979</v>
      </c>
      <c r="BJ220" s="9" t="s">
        <v>493</v>
      </c>
      <c r="BK220" s="9" t="s">
        <v>979</v>
      </c>
      <c r="BL220" s="9" t="s">
        <v>979</v>
      </c>
      <c r="BM220" s="9" t="s">
        <v>979</v>
      </c>
    </row>
    <row r="221" spans="1:65" s="9" customFormat="1" ht="15" customHeight="1" x14ac:dyDescent="0.25">
      <c r="A221" s="23" t="s">
        <v>951</v>
      </c>
      <c r="AX221" s="9" t="s">
        <v>916</v>
      </c>
      <c r="AY221" s="9" t="s">
        <v>916</v>
      </c>
      <c r="AZ221" s="9" t="s">
        <v>916</v>
      </c>
      <c r="BI221" s="9" t="s">
        <v>911</v>
      </c>
      <c r="BJ221" s="9" t="s">
        <v>911</v>
      </c>
      <c r="BK221" s="9" t="s">
        <v>911</v>
      </c>
      <c r="BL221" s="9" t="s">
        <v>911</v>
      </c>
      <c r="BM221" s="9" t="s">
        <v>911</v>
      </c>
    </row>
    <row r="222" spans="1:65" s="9" customFormat="1" ht="15" customHeight="1" x14ac:dyDescent="0.25">
      <c r="A222" s="23" t="s">
        <v>922</v>
      </c>
      <c r="AX222" s="9">
        <v>14</v>
      </c>
      <c r="AY222" s="9">
        <v>14</v>
      </c>
      <c r="AZ222" s="9">
        <v>14</v>
      </c>
      <c r="BI222" s="9">
        <v>12</v>
      </c>
      <c r="BK222" s="9">
        <v>12</v>
      </c>
      <c r="BL222" s="9">
        <v>12</v>
      </c>
      <c r="BM222" s="9">
        <v>10</v>
      </c>
    </row>
    <row r="223" spans="1:65" s="9" customFormat="1" ht="15" customHeight="1" x14ac:dyDescent="0.25">
      <c r="A223" s="23" t="s">
        <v>923</v>
      </c>
      <c r="AX223" s="9" t="s">
        <v>979</v>
      </c>
      <c r="AY223" s="9" t="s">
        <v>979</v>
      </c>
      <c r="AZ223" s="9" t="s">
        <v>979</v>
      </c>
      <c r="BI223" s="9" t="s">
        <v>979</v>
      </c>
      <c r="BK223" s="9" t="s">
        <v>979</v>
      </c>
      <c r="BL223" s="9" t="s">
        <v>979</v>
      </c>
      <c r="BM223" s="9" t="s">
        <v>979</v>
      </c>
    </row>
    <row r="224" spans="1:65" s="9" customFormat="1" ht="15" customHeight="1" x14ac:dyDescent="0.25">
      <c r="A224" s="23" t="s">
        <v>924</v>
      </c>
      <c r="AX224" s="9" t="s">
        <v>917</v>
      </c>
      <c r="AY224" s="9" t="s">
        <v>917</v>
      </c>
      <c r="AZ224" s="9" t="s">
        <v>917</v>
      </c>
      <c r="BI224" s="9" t="s">
        <v>763</v>
      </c>
      <c r="BK224" s="9" t="s">
        <v>763</v>
      </c>
      <c r="BL224" s="9" t="s">
        <v>763</v>
      </c>
      <c r="BM224" s="9" t="s">
        <v>763</v>
      </c>
    </row>
    <row r="225" spans="1:65" s="9" customFormat="1" ht="15" customHeight="1" x14ac:dyDescent="0.25">
      <c r="A225" s="23" t="s">
        <v>952</v>
      </c>
      <c r="AX225" s="9">
        <v>6</v>
      </c>
      <c r="AY225" s="9">
        <v>6</v>
      </c>
      <c r="AZ225" s="9">
        <v>6</v>
      </c>
      <c r="BI225" s="9">
        <v>8</v>
      </c>
      <c r="BJ225" s="9">
        <v>10</v>
      </c>
      <c r="BK225" s="9">
        <v>5</v>
      </c>
      <c r="BL225" s="9">
        <v>5</v>
      </c>
      <c r="BM225" s="9">
        <v>5</v>
      </c>
    </row>
    <row r="226" spans="1:65" s="9" customFormat="1" ht="15" customHeight="1" x14ac:dyDescent="0.25">
      <c r="A226" s="23" t="s">
        <v>953</v>
      </c>
      <c r="AX226" s="9" t="s">
        <v>979</v>
      </c>
      <c r="AY226" s="9" t="s">
        <v>979</v>
      </c>
      <c r="AZ226" s="9" t="s">
        <v>979</v>
      </c>
      <c r="BI226" s="9" t="s">
        <v>979</v>
      </c>
      <c r="BJ226" s="9" t="s">
        <v>493</v>
      </c>
      <c r="BK226" s="9" t="s">
        <v>979</v>
      </c>
      <c r="BL226" s="9" t="s">
        <v>979</v>
      </c>
      <c r="BM226" s="9" t="s">
        <v>979</v>
      </c>
    </row>
    <row r="227" spans="1:65" s="9" customFormat="1" ht="15" customHeight="1" x14ac:dyDescent="0.25">
      <c r="A227" s="23" t="s">
        <v>954</v>
      </c>
      <c r="AX227" s="9" t="s">
        <v>917</v>
      </c>
      <c r="AY227" s="9" t="s">
        <v>917</v>
      </c>
      <c r="AZ227" s="9" t="s">
        <v>917</v>
      </c>
      <c r="BI227" s="9" t="s">
        <v>763</v>
      </c>
      <c r="BK227" s="9" t="s">
        <v>763</v>
      </c>
      <c r="BL227" s="9" t="s">
        <v>763</v>
      </c>
      <c r="BM227" s="9" t="s">
        <v>763</v>
      </c>
    </row>
    <row r="228" spans="1:65" s="9" customFormat="1" ht="15" customHeight="1" x14ac:dyDescent="0.25">
      <c r="A228" s="23" t="s">
        <v>925</v>
      </c>
      <c r="AX228" s="9">
        <v>8</v>
      </c>
      <c r="AY228" s="9">
        <v>8</v>
      </c>
      <c r="AZ228" s="9">
        <v>8</v>
      </c>
      <c r="BI228" s="9">
        <v>9</v>
      </c>
      <c r="BK228" s="9">
        <v>8</v>
      </c>
      <c r="BL228" s="9">
        <v>8</v>
      </c>
      <c r="BM228" s="9">
        <v>8</v>
      </c>
    </row>
    <row r="229" spans="1:65" s="9" customFormat="1" ht="15" customHeight="1" x14ac:dyDescent="0.25">
      <c r="A229" s="23" t="s">
        <v>926</v>
      </c>
      <c r="AX229" s="9" t="s">
        <v>979</v>
      </c>
      <c r="AY229" s="9" t="s">
        <v>979</v>
      </c>
      <c r="AZ229" s="9" t="s">
        <v>979</v>
      </c>
      <c r="BI229" s="9" t="s">
        <v>979</v>
      </c>
      <c r="BK229" s="9" t="s">
        <v>979</v>
      </c>
      <c r="BL229" s="9" t="s">
        <v>979</v>
      </c>
      <c r="BM229" s="9" t="s">
        <v>979</v>
      </c>
    </row>
    <row r="230" spans="1:65" s="9" customFormat="1" ht="15" customHeight="1" x14ac:dyDescent="0.25">
      <c r="A230" s="23" t="s">
        <v>927</v>
      </c>
      <c r="AX230" s="9" t="s">
        <v>918</v>
      </c>
      <c r="AY230" s="9" t="s">
        <v>918</v>
      </c>
      <c r="AZ230" s="9" t="s">
        <v>918</v>
      </c>
      <c r="BI230" s="9" t="s">
        <v>912</v>
      </c>
      <c r="BK230" s="9" t="s">
        <v>912</v>
      </c>
      <c r="BL230" s="9" t="s">
        <v>912</v>
      </c>
      <c r="BM230" s="9" t="s">
        <v>912</v>
      </c>
    </row>
    <row r="231" spans="1:65" s="9" customFormat="1" ht="15" customHeight="1" x14ac:dyDescent="0.25">
      <c r="A231" s="23" t="s">
        <v>955</v>
      </c>
      <c r="AX231" s="9">
        <v>4</v>
      </c>
      <c r="AY231" s="9">
        <v>4</v>
      </c>
      <c r="AZ231" s="9">
        <v>4</v>
      </c>
      <c r="BI231" s="9">
        <v>5</v>
      </c>
      <c r="BK231" s="9">
        <v>4</v>
      </c>
      <c r="BL231" s="9">
        <v>4</v>
      </c>
      <c r="BM231" s="9">
        <v>4</v>
      </c>
    </row>
    <row r="232" spans="1:65" s="9" customFormat="1" ht="15" customHeight="1" x14ac:dyDescent="0.25">
      <c r="A232" s="23" t="s">
        <v>956</v>
      </c>
      <c r="AX232" s="9" t="s">
        <v>979</v>
      </c>
      <c r="AY232" s="9" t="s">
        <v>979</v>
      </c>
      <c r="AZ232" s="9" t="s">
        <v>979</v>
      </c>
      <c r="BI232" s="9" t="s">
        <v>979</v>
      </c>
      <c r="BK232" s="9" t="s">
        <v>979</v>
      </c>
      <c r="BL232" s="9" t="s">
        <v>979</v>
      </c>
      <c r="BM232" s="9" t="s">
        <v>979</v>
      </c>
    </row>
    <row r="233" spans="1:65" s="9" customFormat="1" ht="15" customHeight="1" x14ac:dyDescent="0.25">
      <c r="A233" s="23" t="s">
        <v>957</v>
      </c>
      <c r="AX233" s="9" t="s">
        <v>918</v>
      </c>
      <c r="AY233" s="9" t="s">
        <v>918</v>
      </c>
      <c r="AZ233" s="9" t="s">
        <v>918</v>
      </c>
      <c r="BI233" s="9" t="s">
        <v>912</v>
      </c>
      <c r="BK233" s="9" t="s">
        <v>912</v>
      </c>
      <c r="BL233" s="9" t="s">
        <v>912</v>
      </c>
      <c r="BM233" s="9" t="s">
        <v>912</v>
      </c>
    </row>
    <row r="234" spans="1:65" s="9" customFormat="1" ht="15" customHeight="1" x14ac:dyDescent="0.25">
      <c r="A234" s="23" t="s">
        <v>928</v>
      </c>
      <c r="BC234" s="9">
        <v>2</v>
      </c>
    </row>
    <row r="235" spans="1:65" s="9" customFormat="1" ht="15" customHeight="1" x14ac:dyDescent="0.25">
      <c r="A235" s="23" t="s">
        <v>929</v>
      </c>
      <c r="BC235" s="9" t="s">
        <v>444</v>
      </c>
    </row>
    <row r="236" spans="1:65" s="9" customFormat="1" ht="15" customHeight="1" x14ac:dyDescent="0.25">
      <c r="A236" s="23" t="s">
        <v>930</v>
      </c>
      <c r="BC236" s="9" t="s">
        <v>914</v>
      </c>
    </row>
    <row r="237" spans="1:65" s="9" customFormat="1" ht="15" customHeight="1" x14ac:dyDescent="0.25">
      <c r="A237" s="23" t="s">
        <v>958</v>
      </c>
      <c r="BC237" s="9">
        <v>2</v>
      </c>
    </row>
    <row r="238" spans="1:65" s="9" customFormat="1" ht="15" customHeight="1" x14ac:dyDescent="0.25">
      <c r="A238" s="23" t="s">
        <v>959</v>
      </c>
      <c r="BC238" s="9" t="s">
        <v>444</v>
      </c>
    </row>
    <row r="239" spans="1:65" s="9" customFormat="1" ht="15" customHeight="1" x14ac:dyDescent="0.25">
      <c r="A239" s="23" t="s">
        <v>960</v>
      </c>
      <c r="BC239" s="9" t="s">
        <v>914</v>
      </c>
    </row>
    <row r="240" spans="1:65" s="9" customFormat="1" ht="15" customHeight="1" x14ac:dyDescent="0.25">
      <c r="A240" s="23" t="s">
        <v>931</v>
      </c>
      <c r="BC240" s="9">
        <v>2</v>
      </c>
    </row>
    <row r="241" spans="1:60" s="9" customFormat="1" ht="15" customHeight="1" x14ac:dyDescent="0.25">
      <c r="A241" s="23" t="s">
        <v>932</v>
      </c>
      <c r="BC241" s="9" t="s">
        <v>444</v>
      </c>
    </row>
    <row r="242" spans="1:60" s="9" customFormat="1" ht="15" customHeight="1" x14ac:dyDescent="0.25">
      <c r="A242" s="23" t="s">
        <v>933</v>
      </c>
      <c r="BC242" s="9" t="s">
        <v>914</v>
      </c>
    </row>
    <row r="243" spans="1:60" s="9" customFormat="1" ht="15" customHeight="1" x14ac:dyDescent="0.25">
      <c r="A243" s="23" t="s">
        <v>961</v>
      </c>
      <c r="BC243" s="9">
        <v>2</v>
      </c>
    </row>
    <row r="244" spans="1:60" s="9" customFormat="1" ht="15" customHeight="1" x14ac:dyDescent="0.25">
      <c r="A244" s="23" t="s">
        <v>962</v>
      </c>
      <c r="BC244" s="9" t="s">
        <v>444</v>
      </c>
    </row>
    <row r="245" spans="1:60" s="9" customFormat="1" ht="15" customHeight="1" x14ac:dyDescent="0.25">
      <c r="A245" s="23" t="s">
        <v>963</v>
      </c>
      <c r="BC245" s="9" t="s">
        <v>914</v>
      </c>
    </row>
    <row r="246" spans="1:60" s="9" customFormat="1" ht="15" customHeight="1" x14ac:dyDescent="0.25">
      <c r="A246" s="23" t="s">
        <v>934</v>
      </c>
      <c r="BH246" s="9">
        <v>10</v>
      </c>
    </row>
    <row r="247" spans="1:60" s="9" customFormat="1" ht="15" customHeight="1" x14ac:dyDescent="0.25">
      <c r="A247" s="23" t="s">
        <v>935</v>
      </c>
      <c r="BH247" s="9" t="s">
        <v>979</v>
      </c>
    </row>
    <row r="248" spans="1:60" s="9" customFormat="1" ht="15" customHeight="1" x14ac:dyDescent="0.25">
      <c r="A248" s="23" t="s">
        <v>936</v>
      </c>
      <c r="BH248" s="9" t="s">
        <v>914</v>
      </c>
    </row>
    <row r="249" spans="1:60" s="9" customFormat="1" ht="15" customHeight="1" x14ac:dyDescent="0.25">
      <c r="A249" s="23" t="s">
        <v>964</v>
      </c>
      <c r="BH249" s="9">
        <v>10</v>
      </c>
    </row>
    <row r="250" spans="1:60" s="9" customFormat="1" ht="15" customHeight="1" x14ac:dyDescent="0.25">
      <c r="A250" s="23" t="s">
        <v>965</v>
      </c>
      <c r="BH250" s="9" t="s">
        <v>979</v>
      </c>
    </row>
    <row r="251" spans="1:60" s="9" customFormat="1" ht="15" customHeight="1" x14ac:dyDescent="0.25">
      <c r="A251" s="23" t="s">
        <v>966</v>
      </c>
      <c r="BH251" s="9" t="s">
        <v>914</v>
      </c>
    </row>
    <row r="252" spans="1:60" s="9" customFormat="1" ht="15" customHeight="1" x14ac:dyDescent="0.25">
      <c r="A252" s="23" t="s">
        <v>937</v>
      </c>
      <c r="BH252" s="9">
        <v>15</v>
      </c>
    </row>
    <row r="253" spans="1:60" s="9" customFormat="1" ht="15" customHeight="1" x14ac:dyDescent="0.25">
      <c r="A253" s="23" t="s">
        <v>938</v>
      </c>
      <c r="BH253" s="9" t="s">
        <v>979</v>
      </c>
    </row>
    <row r="254" spans="1:60" s="9" customFormat="1" ht="15" customHeight="1" x14ac:dyDescent="0.25">
      <c r="A254" s="23" t="s">
        <v>939</v>
      </c>
      <c r="BH254" s="9" t="s">
        <v>914</v>
      </c>
    </row>
    <row r="255" spans="1:60" s="9" customFormat="1" ht="15" customHeight="1" x14ac:dyDescent="0.25">
      <c r="A255" s="23" t="s">
        <v>967</v>
      </c>
      <c r="BH255" s="9">
        <v>15</v>
      </c>
    </row>
    <row r="256" spans="1:60" s="9" customFormat="1" ht="15" customHeight="1" x14ac:dyDescent="0.25">
      <c r="A256" s="23" t="s">
        <v>968</v>
      </c>
      <c r="BH256" s="9" t="s">
        <v>979</v>
      </c>
    </row>
    <row r="257" spans="1:65" s="9" customFormat="1" ht="15" customHeight="1" x14ac:dyDescent="0.25">
      <c r="A257" s="23" t="s">
        <v>969</v>
      </c>
      <c r="BH257" s="9" t="s">
        <v>914</v>
      </c>
    </row>
    <row r="258" spans="1:65" s="9" customFormat="1" ht="15" customHeight="1" x14ac:dyDescent="0.25">
      <c r="A258" s="23" t="s">
        <v>940</v>
      </c>
      <c r="BH258" s="9">
        <v>5</v>
      </c>
    </row>
    <row r="259" spans="1:65" s="9" customFormat="1" ht="15" customHeight="1" x14ac:dyDescent="0.25">
      <c r="A259" s="23" t="s">
        <v>941</v>
      </c>
      <c r="BH259" s="9" t="s">
        <v>979</v>
      </c>
    </row>
    <row r="260" spans="1:65" s="9" customFormat="1" ht="15" customHeight="1" x14ac:dyDescent="0.25">
      <c r="A260" s="23" t="s">
        <v>942</v>
      </c>
      <c r="BH260" s="9" t="s">
        <v>914</v>
      </c>
    </row>
    <row r="261" spans="1:65" s="9" customFormat="1" ht="15" customHeight="1" x14ac:dyDescent="0.25">
      <c r="A261" s="23" t="s">
        <v>970</v>
      </c>
      <c r="BH261" s="9">
        <v>5</v>
      </c>
    </row>
    <row r="262" spans="1:65" s="9" customFormat="1" ht="15" customHeight="1" x14ac:dyDescent="0.25">
      <c r="A262" s="23" t="s">
        <v>971</v>
      </c>
      <c r="BH262" s="9" t="s">
        <v>979</v>
      </c>
    </row>
    <row r="263" spans="1:65" s="9" customFormat="1" ht="15" customHeight="1" x14ac:dyDescent="0.25">
      <c r="A263" s="23" t="s">
        <v>972</v>
      </c>
      <c r="BH263" s="9" t="s">
        <v>914</v>
      </c>
    </row>
    <row r="264" spans="1:65" s="9" customFormat="1" ht="15" customHeight="1" x14ac:dyDescent="0.25">
      <c r="A264" s="23" t="s">
        <v>943</v>
      </c>
      <c r="BK264" s="9">
        <v>8</v>
      </c>
      <c r="BL264" s="9">
        <v>8</v>
      </c>
      <c r="BM264" s="9">
        <v>8</v>
      </c>
    </row>
    <row r="265" spans="1:65" s="9" customFormat="1" ht="15" customHeight="1" x14ac:dyDescent="0.25">
      <c r="A265" s="23" t="s">
        <v>944</v>
      </c>
      <c r="BK265" s="9" t="s">
        <v>979</v>
      </c>
      <c r="BL265" s="9" t="s">
        <v>979</v>
      </c>
      <c r="BM265" s="9" t="s">
        <v>979</v>
      </c>
    </row>
    <row r="266" spans="1:65" s="9" customFormat="1" ht="15" customHeight="1" x14ac:dyDescent="0.25">
      <c r="A266" s="23" t="s">
        <v>945</v>
      </c>
      <c r="BK266" s="9" t="s">
        <v>915</v>
      </c>
      <c r="BL266" s="9" t="s">
        <v>915</v>
      </c>
      <c r="BM266" s="9" t="s">
        <v>915</v>
      </c>
    </row>
    <row r="267" spans="1:65" s="9" customFormat="1" ht="15" customHeight="1" x14ac:dyDescent="0.25">
      <c r="A267" s="23" t="s">
        <v>973</v>
      </c>
      <c r="BK267" s="9">
        <v>1</v>
      </c>
      <c r="BL267" s="9">
        <v>1</v>
      </c>
      <c r="BM267" s="9">
        <v>1</v>
      </c>
    </row>
    <row r="268" spans="1:65" s="9" customFormat="1" ht="15" customHeight="1" x14ac:dyDescent="0.25">
      <c r="A268" s="23" t="s">
        <v>974</v>
      </c>
      <c r="BK268" s="9" t="s">
        <v>979</v>
      </c>
      <c r="BL268" s="9" t="s">
        <v>979</v>
      </c>
      <c r="BM268" s="9" t="s">
        <v>979</v>
      </c>
    </row>
    <row r="269" spans="1:65" s="9" customFormat="1" ht="15" customHeight="1" x14ac:dyDescent="0.25">
      <c r="A269" s="23" t="s">
        <v>975</v>
      </c>
      <c r="BK269" s="9" t="s">
        <v>915</v>
      </c>
      <c r="BL269" s="9" t="s">
        <v>915</v>
      </c>
      <c r="BM269" s="9" t="s">
        <v>915</v>
      </c>
    </row>
    <row r="270" spans="1:65" s="9" customFormat="1" ht="15" customHeight="1" x14ac:dyDescent="0.25">
      <c r="A270" s="23" t="s">
        <v>946</v>
      </c>
      <c r="BK270" s="9">
        <v>8</v>
      </c>
      <c r="BL270" s="9">
        <v>8</v>
      </c>
      <c r="BM270" s="9">
        <v>8</v>
      </c>
    </row>
    <row r="271" spans="1:65" s="9" customFormat="1" ht="15" customHeight="1" x14ac:dyDescent="0.25">
      <c r="A271" s="23" t="s">
        <v>947</v>
      </c>
      <c r="BK271" s="9" t="s">
        <v>979</v>
      </c>
      <c r="BL271" s="9" t="s">
        <v>979</v>
      </c>
      <c r="BM271" s="9" t="s">
        <v>979</v>
      </c>
    </row>
    <row r="272" spans="1:65" s="9" customFormat="1" ht="15" customHeight="1" x14ac:dyDescent="0.25">
      <c r="A272" s="23" t="s">
        <v>948</v>
      </c>
      <c r="BK272" s="9" t="s">
        <v>915</v>
      </c>
      <c r="BL272" s="9" t="s">
        <v>915</v>
      </c>
      <c r="BM272" s="9" t="s">
        <v>915</v>
      </c>
    </row>
    <row r="273" spans="1:94" s="9" customFormat="1" ht="15" customHeight="1" x14ac:dyDescent="0.25">
      <c r="A273" s="23" t="s">
        <v>976</v>
      </c>
      <c r="BK273" s="9">
        <v>4</v>
      </c>
      <c r="BL273" s="9">
        <v>4</v>
      </c>
      <c r="BM273" s="9">
        <v>4</v>
      </c>
    </row>
    <row r="274" spans="1:94" s="9" customFormat="1" ht="15" customHeight="1" x14ac:dyDescent="0.25">
      <c r="A274" s="23" t="s">
        <v>977</v>
      </c>
      <c r="BK274" s="9" t="s">
        <v>979</v>
      </c>
      <c r="BL274" s="9" t="s">
        <v>979</v>
      </c>
      <c r="BM274" s="9" t="s">
        <v>979</v>
      </c>
    </row>
    <row r="275" spans="1:94" s="9" customFormat="1" ht="15" customHeight="1" x14ac:dyDescent="0.25">
      <c r="A275" s="23" t="s">
        <v>978</v>
      </c>
      <c r="BK275" s="9" t="s">
        <v>915</v>
      </c>
      <c r="BL275" s="9" t="s">
        <v>915</v>
      </c>
      <c r="BM275" s="9" t="s">
        <v>915</v>
      </c>
    </row>
    <row r="276" spans="1:94" s="9" customFormat="1" ht="15" customHeight="1" x14ac:dyDescent="0.25">
      <c r="A276" s="23" t="s">
        <v>408</v>
      </c>
      <c r="BA276" s="9">
        <v>13</v>
      </c>
      <c r="BE276" s="9">
        <v>32</v>
      </c>
      <c r="BJ276" s="9">
        <v>5</v>
      </c>
      <c r="CA276" s="9">
        <v>4.5</v>
      </c>
      <c r="CB276" s="9">
        <v>4.5</v>
      </c>
      <c r="CC276" s="9">
        <v>4.5</v>
      </c>
      <c r="CG276" s="9">
        <v>4.5</v>
      </c>
      <c r="CH276" s="9">
        <v>4.5</v>
      </c>
      <c r="CM276" s="9">
        <v>4.5</v>
      </c>
    </row>
    <row r="277" spans="1:94" s="9" customFormat="1" ht="15" customHeight="1" x14ac:dyDescent="0.25">
      <c r="A277" s="23" t="s">
        <v>409</v>
      </c>
      <c r="BA277" s="9">
        <v>13</v>
      </c>
      <c r="BE277" s="9">
        <v>32</v>
      </c>
    </row>
    <row r="278" spans="1:94" s="9" customFormat="1" ht="15" customHeight="1" x14ac:dyDescent="0.25">
      <c r="A278" s="23" t="s">
        <v>403</v>
      </c>
      <c r="BA278" s="9" t="s">
        <v>404</v>
      </c>
      <c r="BE278" s="9" t="s">
        <v>462</v>
      </c>
      <c r="BJ278" s="9" t="s">
        <v>492</v>
      </c>
    </row>
    <row r="279" spans="1:94" s="9" customFormat="1" ht="15" customHeight="1" x14ac:dyDescent="0.25">
      <c r="A279" s="23" t="s">
        <v>526</v>
      </c>
      <c r="CA279" s="9" t="s">
        <v>868</v>
      </c>
      <c r="CB279" s="9" t="s">
        <v>868</v>
      </c>
      <c r="CC279" s="9" t="s">
        <v>868</v>
      </c>
      <c r="CG279" s="9" t="s">
        <v>868</v>
      </c>
      <c r="CH279" s="9" t="s">
        <v>868</v>
      </c>
      <c r="CM279" s="9" t="s">
        <v>868</v>
      </c>
    </row>
    <row r="280" spans="1:94" s="9" customFormat="1" ht="15" customHeight="1" x14ac:dyDescent="0.25">
      <c r="A280" s="23" t="s">
        <v>895</v>
      </c>
      <c r="CN280" s="9">
        <v>33</v>
      </c>
    </row>
    <row r="281" spans="1:94" s="9" customFormat="1" ht="15" customHeight="1" x14ac:dyDescent="0.25">
      <c r="A281" s="23" t="s">
        <v>896</v>
      </c>
      <c r="CN281" s="9">
        <v>33</v>
      </c>
    </row>
    <row r="282" spans="1:94" s="9" customFormat="1" ht="15" customHeight="1" x14ac:dyDescent="0.25">
      <c r="A282" s="23" t="s">
        <v>818</v>
      </c>
      <c r="CN282" s="9" t="s">
        <v>808</v>
      </c>
    </row>
    <row r="283" spans="1:94" s="9" customFormat="1" ht="15" customHeight="1" x14ac:dyDescent="0.25">
      <c r="A283" s="23" t="s">
        <v>405</v>
      </c>
      <c r="BA283" s="9">
        <v>200</v>
      </c>
      <c r="BE283" s="9">
        <v>650</v>
      </c>
    </row>
    <row r="284" spans="1:94" s="9" customFormat="1" ht="15" customHeight="1" x14ac:dyDescent="0.25">
      <c r="A284" s="23" t="s">
        <v>406</v>
      </c>
      <c r="BA284" s="9">
        <v>200</v>
      </c>
      <c r="BE284" s="9">
        <v>650</v>
      </c>
    </row>
    <row r="285" spans="1:94" s="9" customFormat="1" ht="15" customHeight="1" x14ac:dyDescent="0.25">
      <c r="A285" s="23" t="s">
        <v>407</v>
      </c>
      <c r="BA285" s="9" t="s">
        <v>404</v>
      </c>
      <c r="BE285" s="9" t="s">
        <v>462</v>
      </c>
    </row>
    <row r="286" spans="1:94" s="9" customFormat="1" ht="15" customHeight="1" x14ac:dyDescent="0.25">
      <c r="A286" s="23" t="s">
        <v>764</v>
      </c>
    </row>
    <row r="287" spans="1:94" s="9" customFormat="1" ht="15" customHeight="1" x14ac:dyDescent="0.25">
      <c r="A287" s="23" t="s">
        <v>411</v>
      </c>
      <c r="BA287" s="9">
        <v>54</v>
      </c>
      <c r="CN287" s="9">
        <v>80</v>
      </c>
      <c r="CO287" s="9">
        <v>70</v>
      </c>
      <c r="CP287" s="9">
        <v>70</v>
      </c>
    </row>
    <row r="288" spans="1:94" s="9" customFormat="1" ht="15" customHeight="1" x14ac:dyDescent="0.25">
      <c r="A288" s="23" t="s">
        <v>412</v>
      </c>
      <c r="BA288" s="9">
        <v>54</v>
      </c>
      <c r="CN288" s="9">
        <v>80</v>
      </c>
      <c r="CO288" s="9">
        <v>80</v>
      </c>
      <c r="CP288" s="9">
        <v>80</v>
      </c>
    </row>
    <row r="289" spans="1:94" s="9" customFormat="1" ht="15" customHeight="1" x14ac:dyDescent="0.25">
      <c r="A289" s="23" t="s">
        <v>410</v>
      </c>
      <c r="BA289" s="9" t="s">
        <v>413</v>
      </c>
      <c r="CN289" s="9" t="s">
        <v>834</v>
      </c>
      <c r="CO289" s="9" t="s">
        <v>834</v>
      </c>
      <c r="CP289" s="9" t="s">
        <v>834</v>
      </c>
    </row>
    <row r="290" spans="1:94" s="9" customFormat="1" ht="15" customHeight="1" x14ac:dyDescent="0.25">
      <c r="A290" s="23" t="s">
        <v>765</v>
      </c>
    </row>
    <row r="291" spans="1:94" s="9" customFormat="1" ht="15" customHeight="1" x14ac:dyDescent="0.25">
      <c r="A291" s="23" t="s">
        <v>806</v>
      </c>
      <c r="CN291" s="9">
        <v>7</v>
      </c>
    </row>
    <row r="292" spans="1:94" s="9" customFormat="1" ht="15" customHeight="1" x14ac:dyDescent="0.25">
      <c r="A292" s="23" t="s">
        <v>807</v>
      </c>
      <c r="CN292" s="9">
        <v>7</v>
      </c>
    </row>
    <row r="293" spans="1:94" s="9" customFormat="1" ht="15" customHeight="1" x14ac:dyDescent="0.25">
      <c r="A293" s="23" t="s">
        <v>817</v>
      </c>
      <c r="CN293" s="9" t="s">
        <v>802</v>
      </c>
    </row>
    <row r="294" spans="1:94" s="9" customFormat="1" ht="15" customHeight="1" x14ac:dyDescent="0.25">
      <c r="A294" s="23" t="s">
        <v>819</v>
      </c>
      <c r="CN294" s="9">
        <v>-70</v>
      </c>
      <c r="CP294" s="9">
        <v>-20</v>
      </c>
    </row>
    <row r="295" spans="1:94" s="9" customFormat="1" ht="15" customHeight="1" x14ac:dyDescent="0.25">
      <c r="A295" s="23" t="s">
        <v>820</v>
      </c>
      <c r="CN295" s="9">
        <v>-70</v>
      </c>
      <c r="CP295" s="9">
        <v>-20</v>
      </c>
    </row>
    <row r="296" spans="1:94" s="9" customFormat="1" ht="15" customHeight="1" x14ac:dyDescent="0.25">
      <c r="A296" s="23" t="s">
        <v>821</v>
      </c>
      <c r="CN296" s="9" t="s">
        <v>822</v>
      </c>
    </row>
    <row r="297" spans="1:94" s="9" customFormat="1" ht="15" customHeight="1" x14ac:dyDescent="0.25">
      <c r="A297" s="23" t="s">
        <v>823</v>
      </c>
      <c r="CN297" s="9">
        <v>-32</v>
      </c>
      <c r="CP297" s="9">
        <v>-22</v>
      </c>
    </row>
    <row r="298" spans="1:94" s="9" customFormat="1" ht="15" customHeight="1" x14ac:dyDescent="0.25">
      <c r="A298" s="23" t="s">
        <v>824</v>
      </c>
      <c r="CN298" s="9">
        <v>-32</v>
      </c>
      <c r="CP298" s="9">
        <v>-22</v>
      </c>
    </row>
    <row r="299" spans="1:94" s="9" customFormat="1" ht="15" customHeight="1" x14ac:dyDescent="0.25">
      <c r="A299" s="23" t="s">
        <v>825</v>
      </c>
    </row>
    <row r="300" spans="1:94" s="9" customFormat="1" ht="15" customHeight="1" x14ac:dyDescent="0.25">
      <c r="A300" s="23" t="s">
        <v>826</v>
      </c>
    </row>
    <row r="301" spans="1:94" s="9" customFormat="1" ht="15" customHeight="1" x14ac:dyDescent="0.25">
      <c r="A301" s="23" t="s">
        <v>668</v>
      </c>
      <c r="BB301" s="9">
        <v>8</v>
      </c>
      <c r="BU301" s="9">
        <v>25</v>
      </c>
      <c r="BV301" s="9">
        <v>35</v>
      </c>
      <c r="BW301" s="9">
        <v>35</v>
      </c>
    </row>
    <row r="302" spans="1:94" s="9" customFormat="1" ht="15" customHeight="1" x14ac:dyDescent="0.25">
      <c r="A302" s="23" t="s">
        <v>669</v>
      </c>
      <c r="BB302" s="9">
        <v>8</v>
      </c>
      <c r="BU302" s="9">
        <v>25</v>
      </c>
      <c r="BV302" s="9">
        <v>35</v>
      </c>
      <c r="BW302" s="9">
        <v>35</v>
      </c>
    </row>
    <row r="303" spans="1:94" s="9" customFormat="1" ht="15" customHeight="1" x14ac:dyDescent="0.25">
      <c r="A303" s="23" t="s">
        <v>670</v>
      </c>
      <c r="BB303" s="9" t="s">
        <v>430</v>
      </c>
      <c r="BU303" s="9" t="s">
        <v>430</v>
      </c>
      <c r="BV303" s="9" t="s">
        <v>430</v>
      </c>
      <c r="BW303" s="9" t="s">
        <v>430</v>
      </c>
    </row>
    <row r="304" spans="1:94" s="9" customFormat="1" ht="15" customHeight="1" x14ac:dyDescent="0.25">
      <c r="A304" s="23" t="s">
        <v>671</v>
      </c>
      <c r="BB304" s="9" t="s">
        <v>667</v>
      </c>
    </row>
    <row r="305" spans="1:75" s="9" customFormat="1" ht="15" customHeight="1" x14ac:dyDescent="0.25">
      <c r="A305" s="23" t="s">
        <v>770</v>
      </c>
      <c r="BB305" s="9">
        <v>3</v>
      </c>
      <c r="BU305" s="9">
        <v>5</v>
      </c>
      <c r="BV305" s="9">
        <v>5</v>
      </c>
      <c r="BW305" s="9">
        <v>5</v>
      </c>
    </row>
    <row r="306" spans="1:75" s="9" customFormat="1" ht="15" customHeight="1" x14ac:dyDescent="0.25">
      <c r="A306" s="23" t="s">
        <v>771</v>
      </c>
      <c r="BB306" s="9">
        <v>3</v>
      </c>
      <c r="BU306" s="9">
        <v>5</v>
      </c>
      <c r="BV306" s="9">
        <v>5</v>
      </c>
      <c r="BW306" s="9">
        <v>5</v>
      </c>
    </row>
    <row r="307" spans="1:75" s="9" customFormat="1" ht="15" customHeight="1" x14ac:dyDescent="0.25">
      <c r="A307" s="23" t="s">
        <v>772</v>
      </c>
      <c r="BB307" s="9" t="s">
        <v>430</v>
      </c>
      <c r="BU307" s="9" t="s">
        <v>430</v>
      </c>
      <c r="BV307" s="9" t="s">
        <v>430</v>
      </c>
      <c r="BW307" s="9" t="s">
        <v>430</v>
      </c>
    </row>
    <row r="308" spans="1:75" s="9" customFormat="1" ht="15" customHeight="1" x14ac:dyDescent="0.25">
      <c r="A308" s="23" t="s">
        <v>773</v>
      </c>
      <c r="BB308" s="9" t="s">
        <v>677</v>
      </c>
    </row>
    <row r="309" spans="1:75" s="9" customFormat="1" ht="15" customHeight="1" x14ac:dyDescent="0.25">
      <c r="A309" s="23" t="s">
        <v>673</v>
      </c>
      <c r="BB309" s="9">
        <v>15</v>
      </c>
    </row>
    <row r="310" spans="1:75" s="9" customFormat="1" ht="15" customHeight="1" x14ac:dyDescent="0.25">
      <c r="A310" s="23" t="s">
        <v>674</v>
      </c>
      <c r="BB310" s="9">
        <v>15</v>
      </c>
      <c r="BU310" s="9">
        <v>3</v>
      </c>
      <c r="BV310" s="9">
        <v>3</v>
      </c>
      <c r="BW310" s="9">
        <v>3</v>
      </c>
    </row>
    <row r="311" spans="1:75" s="9" customFormat="1" ht="15" customHeight="1" x14ac:dyDescent="0.25">
      <c r="A311" s="23" t="s">
        <v>675</v>
      </c>
      <c r="BB311" s="9" t="s">
        <v>430</v>
      </c>
      <c r="BU311" s="9" t="s">
        <v>430</v>
      </c>
      <c r="BV311" s="9" t="s">
        <v>430</v>
      </c>
      <c r="BW311" s="9" t="s">
        <v>430</v>
      </c>
    </row>
    <row r="312" spans="1:75" s="9" customFormat="1" ht="15" customHeight="1" x14ac:dyDescent="0.25">
      <c r="A312" s="23" t="s">
        <v>676</v>
      </c>
      <c r="BB312" s="9" t="s">
        <v>672</v>
      </c>
      <c r="BU312" s="9" t="s">
        <v>679</v>
      </c>
      <c r="BV312" s="9" t="s">
        <v>679</v>
      </c>
      <c r="BW312" s="9" t="s">
        <v>679</v>
      </c>
    </row>
    <row r="313" spans="1:75" s="9" customFormat="1" ht="15" customHeight="1" x14ac:dyDescent="0.25">
      <c r="A313" s="23" t="s">
        <v>766</v>
      </c>
      <c r="BB313" s="9">
        <v>4</v>
      </c>
      <c r="BU313" s="9">
        <v>1</v>
      </c>
      <c r="BV313" s="9">
        <v>4</v>
      </c>
      <c r="BW313" s="9">
        <v>4</v>
      </c>
    </row>
    <row r="314" spans="1:75" s="9" customFormat="1" ht="15" customHeight="1" x14ac:dyDescent="0.25">
      <c r="A314" s="23" t="s">
        <v>767</v>
      </c>
      <c r="BB314" s="9">
        <v>4</v>
      </c>
      <c r="BU314" s="9">
        <v>1</v>
      </c>
      <c r="BV314" s="9">
        <v>4</v>
      </c>
      <c r="BW314" s="9">
        <v>4</v>
      </c>
    </row>
    <row r="315" spans="1:75" s="9" customFormat="1" ht="15" customHeight="1" x14ac:dyDescent="0.25">
      <c r="A315" s="23" t="s">
        <v>768</v>
      </c>
      <c r="BB315" s="9" t="s">
        <v>430</v>
      </c>
      <c r="BU315" s="9" t="s">
        <v>430</v>
      </c>
      <c r="BV315" s="9" t="s">
        <v>430</v>
      </c>
      <c r="BW315" s="9" t="s">
        <v>430</v>
      </c>
    </row>
    <row r="316" spans="1:75" s="9" customFormat="1" ht="15" customHeight="1" x14ac:dyDescent="0.25">
      <c r="A316" s="23" t="s">
        <v>769</v>
      </c>
      <c r="BB316" s="9" t="s">
        <v>678</v>
      </c>
      <c r="BU316" s="9" t="s">
        <v>679</v>
      </c>
      <c r="BV316" s="9" t="s">
        <v>679</v>
      </c>
      <c r="BW316" s="9" t="s">
        <v>679</v>
      </c>
    </row>
    <row r="317" spans="1:75" s="9" customFormat="1" ht="15" customHeight="1" x14ac:dyDescent="0.25">
      <c r="A317" s="23" t="s">
        <v>432</v>
      </c>
      <c r="BB317" s="9">
        <v>16.5</v>
      </c>
    </row>
    <row r="318" spans="1:75" s="9" customFormat="1" ht="15" customHeight="1" x14ac:dyDescent="0.25">
      <c r="A318" s="23" t="s">
        <v>433</v>
      </c>
      <c r="BB318" s="9">
        <v>16.5</v>
      </c>
    </row>
    <row r="319" spans="1:75" s="9" customFormat="1" ht="15" customHeight="1" x14ac:dyDescent="0.25">
      <c r="A319" s="23" t="s">
        <v>434</v>
      </c>
      <c r="BB319" s="9" t="s">
        <v>380</v>
      </c>
    </row>
    <row r="320" spans="1:75" s="9" customFormat="1" ht="15" customHeight="1" x14ac:dyDescent="0.25">
      <c r="A320" s="23" t="s">
        <v>435</v>
      </c>
      <c r="BB320" s="9">
        <v>29</v>
      </c>
    </row>
    <row r="321" spans="1:94" s="9" customFormat="1" ht="15" customHeight="1" x14ac:dyDescent="0.25">
      <c r="A321" s="23" t="s">
        <v>436</v>
      </c>
      <c r="BB321" s="9">
        <v>29</v>
      </c>
    </row>
    <row r="322" spans="1:94" s="9" customFormat="1" ht="15" customHeight="1" x14ac:dyDescent="0.25">
      <c r="A322" s="23" t="s">
        <v>437</v>
      </c>
      <c r="BB322" s="9" t="s">
        <v>380</v>
      </c>
    </row>
    <row r="323" spans="1:94" s="9" customFormat="1" ht="15" customHeight="1" x14ac:dyDescent="0.25">
      <c r="A323" s="23" t="s">
        <v>775</v>
      </c>
      <c r="BC323" s="9">
        <v>14</v>
      </c>
    </row>
    <row r="324" spans="1:94" s="9" customFormat="1" ht="15" customHeight="1" x14ac:dyDescent="0.25">
      <c r="A324" s="23" t="s">
        <v>776</v>
      </c>
      <c r="BC324" s="9" t="s">
        <v>380</v>
      </c>
    </row>
    <row r="325" spans="1:94" s="9" customFormat="1" ht="15" customHeight="1" x14ac:dyDescent="0.25">
      <c r="A325" s="23" t="s">
        <v>777</v>
      </c>
      <c r="BC325" s="9" t="s">
        <v>909</v>
      </c>
    </row>
    <row r="326" spans="1:94" s="9" customFormat="1" ht="15" customHeight="1" x14ac:dyDescent="0.25">
      <c r="A326" s="23" t="s">
        <v>778</v>
      </c>
      <c r="BC326" s="9">
        <v>20</v>
      </c>
    </row>
    <row r="327" spans="1:94" s="9" customFormat="1" ht="15" customHeight="1" x14ac:dyDescent="0.25">
      <c r="A327" s="23" t="s">
        <v>779</v>
      </c>
    </row>
    <row r="328" spans="1:94" s="9" customFormat="1" ht="15" customHeight="1" x14ac:dyDescent="0.25">
      <c r="A328" s="23" t="s">
        <v>780</v>
      </c>
      <c r="BC328" s="9" t="s">
        <v>774</v>
      </c>
    </row>
    <row r="329" spans="1:94" s="9" customFormat="1" ht="15" customHeight="1" x14ac:dyDescent="0.25">
      <c r="A329" s="23" t="s">
        <v>893</v>
      </c>
      <c r="CA329" s="11">
        <v>1.0000000000000001E-5</v>
      </c>
      <c r="CB329" s="11">
        <v>1.0000000000000001E-5</v>
      </c>
      <c r="CC329" s="11">
        <v>1.0000000000000001E-5</v>
      </c>
      <c r="CD329" s="11">
        <v>1.0000000000000001E-5</v>
      </c>
      <c r="CE329" s="11">
        <v>1.0000000000000001E-5</v>
      </c>
      <c r="CF329" s="11">
        <v>1.0000000000000001E-5</v>
      </c>
      <c r="CI329" s="11">
        <v>1.0000000000000001E-5</v>
      </c>
      <c r="CJ329" s="11">
        <v>1.0000000000000001E-5</v>
      </c>
      <c r="CK329" s="11">
        <v>1.0000000000000001E-5</v>
      </c>
      <c r="CL329" s="11">
        <v>1.0000000000000001E-5</v>
      </c>
      <c r="CN329" s="11"/>
      <c r="CO329" s="11"/>
      <c r="CP329" s="11"/>
    </row>
    <row r="330" spans="1:94" s="9" customFormat="1" ht="15" customHeight="1" x14ac:dyDescent="0.25">
      <c r="A330" s="23" t="s">
        <v>894</v>
      </c>
      <c r="CA330" s="11">
        <v>1.0000000000000001E-5</v>
      </c>
      <c r="CB330" s="11">
        <v>1.0000000000000001E-5</v>
      </c>
      <c r="CC330" s="11">
        <v>1.0000000000000001E-5</v>
      </c>
      <c r="CD330" s="11">
        <v>1.0000000000000001E-5</v>
      </c>
      <c r="CE330" s="11">
        <v>1.0000000000000001E-5</v>
      </c>
      <c r="CF330" s="11">
        <v>1.0000000000000001E-5</v>
      </c>
      <c r="CI330" s="11">
        <v>1.0000000000000001E-5</v>
      </c>
      <c r="CJ330" s="11">
        <v>1.0000000000000001E-5</v>
      </c>
      <c r="CK330" s="11">
        <v>1.0000000000000001E-5</v>
      </c>
      <c r="CL330" s="11">
        <v>1.0000000000000001E-5</v>
      </c>
      <c r="CN330" s="11"/>
      <c r="CO330" s="11"/>
      <c r="CP330" s="11"/>
    </row>
    <row r="331" spans="1:94" s="9" customFormat="1" ht="15" customHeight="1" x14ac:dyDescent="0.25">
      <c r="A331" s="23" t="s">
        <v>621</v>
      </c>
      <c r="BN331" s="9">
        <v>2.5</v>
      </c>
      <c r="BO331" s="9">
        <v>2.5</v>
      </c>
      <c r="BP331" s="9">
        <v>2.5</v>
      </c>
      <c r="BQ331" s="9">
        <v>2.5</v>
      </c>
      <c r="BR331" s="9">
        <v>2</v>
      </c>
      <c r="BS331" s="9">
        <v>2.5</v>
      </c>
      <c r="BT331" s="9">
        <v>2.5</v>
      </c>
    </row>
    <row r="332" spans="1:94" s="9" customFormat="1" ht="15" customHeight="1" x14ac:dyDescent="0.25">
      <c r="A332" s="23" t="s">
        <v>622</v>
      </c>
      <c r="BN332" s="9">
        <v>2.5</v>
      </c>
      <c r="BO332" s="9">
        <v>2.5</v>
      </c>
      <c r="BP332" s="9">
        <v>2.5</v>
      </c>
      <c r="BQ332" s="9">
        <v>2.5</v>
      </c>
      <c r="BR332" s="9">
        <v>2</v>
      </c>
      <c r="BS332" s="9">
        <v>2.5</v>
      </c>
      <c r="BT332" s="9">
        <v>2.5</v>
      </c>
    </row>
    <row r="333" spans="1:94" s="9" customFormat="1" ht="15" customHeight="1" x14ac:dyDescent="0.25">
      <c r="A333" s="23" t="s">
        <v>623</v>
      </c>
      <c r="BN333" s="9" t="s">
        <v>624</v>
      </c>
      <c r="BO333" s="9" t="s">
        <v>624</v>
      </c>
      <c r="BP333" s="9" t="s">
        <v>624</v>
      </c>
      <c r="BQ333" s="9" t="s">
        <v>624</v>
      </c>
      <c r="BR333" s="9" t="s">
        <v>624</v>
      </c>
      <c r="BS333" s="9" t="s">
        <v>624</v>
      </c>
      <c r="BT333" s="9" t="s">
        <v>624</v>
      </c>
    </row>
    <row r="334" spans="1:94" s="9" customFormat="1" ht="15" customHeight="1" x14ac:dyDescent="0.25">
      <c r="A334" s="23" t="s">
        <v>625</v>
      </c>
      <c r="BN334" s="9">
        <v>30</v>
      </c>
      <c r="BO334" s="9">
        <v>30</v>
      </c>
      <c r="BP334" s="9">
        <v>30</v>
      </c>
      <c r="BQ334" s="9">
        <v>30</v>
      </c>
      <c r="BR334" s="9">
        <v>8</v>
      </c>
      <c r="BS334" s="9">
        <v>30</v>
      </c>
      <c r="BT334" s="9">
        <v>30</v>
      </c>
    </row>
    <row r="335" spans="1:94" s="9" customFormat="1" ht="15" customHeight="1" x14ac:dyDescent="0.25">
      <c r="A335" s="23" t="s">
        <v>626</v>
      </c>
      <c r="BN335" s="9">
        <v>30</v>
      </c>
      <c r="BO335" s="9">
        <v>30</v>
      </c>
      <c r="BP335" s="9">
        <v>30</v>
      </c>
      <c r="BQ335" s="9">
        <v>30</v>
      </c>
      <c r="BR335" s="9">
        <v>8</v>
      </c>
      <c r="BS335" s="9">
        <v>30</v>
      </c>
      <c r="BT335" s="9">
        <v>30</v>
      </c>
    </row>
    <row r="336" spans="1:94" s="9" customFormat="1" ht="15" customHeight="1" x14ac:dyDescent="0.25">
      <c r="A336" s="23" t="s">
        <v>787</v>
      </c>
      <c r="BN336" s="9" t="s">
        <v>624</v>
      </c>
      <c r="BO336" s="9" t="s">
        <v>624</v>
      </c>
      <c r="BP336" s="9" t="s">
        <v>624</v>
      </c>
      <c r="BQ336" s="9" t="s">
        <v>624</v>
      </c>
      <c r="BR336" s="9" t="s">
        <v>624</v>
      </c>
      <c r="BS336" s="9" t="s">
        <v>624</v>
      </c>
      <c r="BT336" s="9" t="s">
        <v>624</v>
      </c>
    </row>
    <row r="337" spans="1:94" s="12" customFormat="1" ht="15" customHeight="1" x14ac:dyDescent="0.25">
      <c r="A337" s="24" t="s">
        <v>179</v>
      </c>
      <c r="B337" s="12">
        <v>-50</v>
      </c>
      <c r="C337" s="12">
        <v>-50</v>
      </c>
      <c r="D337" s="12">
        <v>-50</v>
      </c>
      <c r="E337" s="12">
        <v>-50</v>
      </c>
      <c r="F337" s="12">
        <v>-50</v>
      </c>
      <c r="G337" s="12">
        <v>-50</v>
      </c>
      <c r="H337" s="12">
        <v>-50</v>
      </c>
      <c r="I337" s="12">
        <v>-50</v>
      </c>
      <c r="J337" s="12">
        <v>-50</v>
      </c>
      <c r="K337" s="12">
        <v>-50</v>
      </c>
      <c r="L337" s="12">
        <v>-50</v>
      </c>
      <c r="M337" s="12">
        <v>-50</v>
      </c>
      <c r="N337" s="12">
        <v>-50</v>
      </c>
      <c r="O337" s="12">
        <v>-50</v>
      </c>
      <c r="P337" s="12">
        <v>-50</v>
      </c>
      <c r="Q337" s="12">
        <v>-50</v>
      </c>
      <c r="R337" s="12">
        <v>-50</v>
      </c>
      <c r="S337" s="12">
        <v>-50</v>
      </c>
      <c r="T337" s="12">
        <v>-50</v>
      </c>
      <c r="U337" s="12">
        <v>-50</v>
      </c>
      <c r="V337" s="12">
        <v>-50</v>
      </c>
      <c r="W337" s="12">
        <v>-50</v>
      </c>
      <c r="X337" s="12">
        <v>-50</v>
      </c>
      <c r="Y337" s="12">
        <v>-50</v>
      </c>
      <c r="Z337" s="12">
        <v>-50</v>
      </c>
      <c r="AA337" s="12">
        <v>-50</v>
      </c>
      <c r="AB337" s="12">
        <v>-50</v>
      </c>
      <c r="AC337" s="12">
        <v>-50</v>
      </c>
      <c r="AD337" s="12">
        <v>-50</v>
      </c>
      <c r="AE337" s="12">
        <v>-50</v>
      </c>
      <c r="AF337" s="12">
        <v>-200</v>
      </c>
      <c r="AG337" s="12">
        <v>-200</v>
      </c>
      <c r="AH337" s="12">
        <v>-200</v>
      </c>
      <c r="AI337" s="12">
        <v>-200</v>
      </c>
      <c r="AJ337" s="12">
        <v>-200</v>
      </c>
      <c r="AK337" s="12">
        <v>-200</v>
      </c>
      <c r="AL337" s="12">
        <v>-200</v>
      </c>
      <c r="AM337" s="12">
        <v>-200</v>
      </c>
      <c r="AN337" s="12">
        <v>-200</v>
      </c>
      <c r="AO337" s="12">
        <v>-200</v>
      </c>
      <c r="AP337" s="12">
        <v>-200</v>
      </c>
      <c r="AQ337" s="12">
        <v>-200</v>
      </c>
      <c r="AR337" s="12">
        <v>-50</v>
      </c>
      <c r="AS337" s="12">
        <v>-50</v>
      </c>
      <c r="AT337" s="12">
        <v>0</v>
      </c>
      <c r="AU337" s="12">
        <v>0</v>
      </c>
      <c r="AV337" s="12">
        <v>0</v>
      </c>
      <c r="AW337" s="12">
        <v>-50</v>
      </c>
      <c r="AX337" s="12">
        <v>0</v>
      </c>
      <c r="AY337" s="12">
        <v>0</v>
      </c>
      <c r="AZ337" s="12">
        <v>0</v>
      </c>
      <c r="BA337" s="12">
        <v>-100</v>
      </c>
      <c r="BB337" s="12">
        <v>-200</v>
      </c>
      <c r="BC337" s="12">
        <v>-210</v>
      </c>
      <c r="BD337" s="12">
        <v>-240</v>
      </c>
      <c r="BE337" s="12">
        <v>-200</v>
      </c>
      <c r="BF337" s="12">
        <v>-160</v>
      </c>
      <c r="BG337" s="12">
        <v>-240</v>
      </c>
      <c r="BH337" s="12">
        <v>0</v>
      </c>
      <c r="BI337" s="12">
        <v>0</v>
      </c>
      <c r="BJ337" s="12">
        <v>-50</v>
      </c>
      <c r="BK337" s="12">
        <v>-30</v>
      </c>
      <c r="BL337" s="12">
        <v>-30</v>
      </c>
      <c r="BM337" s="12">
        <v>-30</v>
      </c>
      <c r="BN337" s="12">
        <v>0</v>
      </c>
      <c r="BO337" s="12">
        <v>0</v>
      </c>
      <c r="BP337" s="12">
        <v>0</v>
      </c>
      <c r="BQ337" s="12">
        <v>0</v>
      </c>
      <c r="BR337" s="12">
        <v>0</v>
      </c>
      <c r="BS337" s="12">
        <v>0</v>
      </c>
      <c r="BT337" s="12">
        <v>0</v>
      </c>
      <c r="BU337" s="12">
        <v>-200</v>
      </c>
      <c r="BV337" s="12">
        <v>-200</v>
      </c>
      <c r="BW337" s="12">
        <v>-200</v>
      </c>
      <c r="BX337" s="12">
        <v>0</v>
      </c>
      <c r="BZ337" s="12">
        <v>-200</v>
      </c>
      <c r="CA337" s="12">
        <v>0</v>
      </c>
      <c r="CB337" s="12">
        <v>0</v>
      </c>
      <c r="CC337" s="12">
        <v>0</v>
      </c>
      <c r="CD337" s="12">
        <v>0</v>
      </c>
      <c r="CE337" s="12">
        <v>0</v>
      </c>
      <c r="CF337" s="12">
        <v>0</v>
      </c>
      <c r="CG337" s="12">
        <v>0</v>
      </c>
      <c r="CH337" s="12">
        <v>0</v>
      </c>
      <c r="CI337" s="12">
        <v>0</v>
      </c>
      <c r="CJ337" s="12">
        <v>-200</v>
      </c>
      <c r="CK337" s="12">
        <v>0</v>
      </c>
      <c r="CL337" s="12">
        <v>0</v>
      </c>
      <c r="CM337" s="12">
        <v>0</v>
      </c>
      <c r="CN337" s="12">
        <v>-40</v>
      </c>
      <c r="CO337" s="12">
        <v>0</v>
      </c>
      <c r="CP337" s="12">
        <v>-20</v>
      </c>
    </row>
    <row r="338" spans="1:94" s="12" customFormat="1" ht="15" customHeight="1" x14ac:dyDescent="0.25">
      <c r="A338" s="24" t="s">
        <v>180</v>
      </c>
      <c r="B338" s="13">
        <v>250</v>
      </c>
      <c r="C338" s="13">
        <v>300</v>
      </c>
      <c r="D338" s="13">
        <v>300</v>
      </c>
      <c r="E338" s="13">
        <v>260</v>
      </c>
      <c r="F338" s="13">
        <v>260</v>
      </c>
      <c r="G338" s="12">
        <v>120</v>
      </c>
      <c r="H338" s="12">
        <v>100</v>
      </c>
      <c r="I338" s="12">
        <v>260</v>
      </c>
      <c r="J338" s="12">
        <v>260</v>
      </c>
      <c r="K338" s="12">
        <v>280</v>
      </c>
      <c r="L338" s="12">
        <v>280</v>
      </c>
      <c r="M338" s="12">
        <v>280</v>
      </c>
      <c r="N338" s="12">
        <v>300</v>
      </c>
      <c r="O338" s="12">
        <v>300</v>
      </c>
      <c r="P338" s="12">
        <v>300</v>
      </c>
      <c r="Q338" s="12">
        <v>300</v>
      </c>
      <c r="R338" s="12">
        <v>300</v>
      </c>
      <c r="S338" s="12">
        <v>300</v>
      </c>
      <c r="T338" s="12">
        <v>300</v>
      </c>
      <c r="U338" s="12">
        <v>300</v>
      </c>
      <c r="V338" s="12">
        <v>300</v>
      </c>
      <c r="W338" s="12">
        <v>300</v>
      </c>
      <c r="X338" s="12">
        <v>300</v>
      </c>
      <c r="Y338" s="12">
        <v>275</v>
      </c>
      <c r="Z338" s="13">
        <v>200</v>
      </c>
      <c r="AA338" s="13">
        <v>260</v>
      </c>
      <c r="AB338" s="13">
        <v>260</v>
      </c>
      <c r="AC338" s="12">
        <v>300</v>
      </c>
      <c r="AD338" s="12">
        <v>600</v>
      </c>
      <c r="AE338" s="12">
        <v>600</v>
      </c>
      <c r="AF338" s="12">
        <v>600</v>
      </c>
      <c r="AG338" s="12">
        <v>600</v>
      </c>
      <c r="AH338" s="12">
        <v>600</v>
      </c>
      <c r="AI338" s="12">
        <v>600</v>
      </c>
      <c r="AJ338" s="12">
        <v>600</v>
      </c>
      <c r="AK338" s="12">
        <v>600</v>
      </c>
      <c r="AL338" s="12">
        <v>650</v>
      </c>
      <c r="AM338" s="12">
        <v>650</v>
      </c>
      <c r="AN338" s="12">
        <v>600</v>
      </c>
      <c r="AO338" s="12">
        <v>600</v>
      </c>
      <c r="AP338" s="12">
        <v>550</v>
      </c>
      <c r="AQ338" s="12">
        <v>600</v>
      </c>
      <c r="AR338" s="12">
        <v>260</v>
      </c>
      <c r="AS338" s="12">
        <v>200</v>
      </c>
      <c r="AT338" s="12">
        <v>540</v>
      </c>
      <c r="AU338" s="12">
        <v>850</v>
      </c>
      <c r="AV338" s="12">
        <v>850</v>
      </c>
      <c r="AW338" s="12">
        <v>120</v>
      </c>
      <c r="AX338" s="12">
        <v>450</v>
      </c>
      <c r="AY338" s="12">
        <v>450</v>
      </c>
      <c r="AZ338" s="12">
        <v>450</v>
      </c>
      <c r="BA338" s="12">
        <v>260</v>
      </c>
      <c r="BB338" s="12">
        <v>260</v>
      </c>
      <c r="BC338" s="12">
        <v>260</v>
      </c>
      <c r="BD338" s="12">
        <v>270</v>
      </c>
      <c r="BE338" s="12">
        <v>250</v>
      </c>
      <c r="BF338" s="12">
        <v>150</v>
      </c>
      <c r="BG338" s="12">
        <v>260</v>
      </c>
      <c r="BH338" s="12">
        <v>200</v>
      </c>
      <c r="BI338" s="12">
        <v>300</v>
      </c>
      <c r="BJ338" s="12">
        <v>180</v>
      </c>
      <c r="BK338" s="12">
        <v>440</v>
      </c>
      <c r="BL338" s="12">
        <v>440</v>
      </c>
      <c r="BM338" s="12">
        <v>440</v>
      </c>
      <c r="BN338" s="12">
        <v>650</v>
      </c>
      <c r="BO338" s="12">
        <v>650</v>
      </c>
      <c r="BP338" s="12">
        <v>650</v>
      </c>
      <c r="BQ338" s="12">
        <v>650</v>
      </c>
      <c r="BR338" s="12">
        <v>650</v>
      </c>
      <c r="BS338" s="12">
        <v>650</v>
      </c>
      <c r="BT338" s="12">
        <v>650</v>
      </c>
      <c r="BU338" s="12">
        <v>700</v>
      </c>
      <c r="BV338" s="12">
        <v>700</v>
      </c>
      <c r="BW338" s="12">
        <v>700</v>
      </c>
      <c r="BX338" s="12">
        <v>350</v>
      </c>
      <c r="BZ338" s="12">
        <v>600</v>
      </c>
      <c r="CA338" s="12">
        <v>600</v>
      </c>
      <c r="CB338" s="12">
        <v>600</v>
      </c>
      <c r="CC338" s="12">
        <v>600</v>
      </c>
      <c r="CD338" s="12">
        <v>650</v>
      </c>
      <c r="CE338" s="12">
        <v>650</v>
      </c>
      <c r="CF338" s="12">
        <v>650</v>
      </c>
      <c r="CG338" s="12">
        <v>650</v>
      </c>
      <c r="CH338" s="12">
        <v>650</v>
      </c>
      <c r="CI338" s="12">
        <v>600</v>
      </c>
      <c r="CJ338" s="12">
        <v>600</v>
      </c>
      <c r="CK338" s="12">
        <v>650</v>
      </c>
      <c r="CL338" s="12">
        <v>650</v>
      </c>
      <c r="CM338" s="12">
        <v>650</v>
      </c>
      <c r="CN338" s="12">
        <v>100</v>
      </c>
      <c r="CO338" s="12">
        <v>150</v>
      </c>
      <c r="CP338" s="12">
        <v>150</v>
      </c>
    </row>
    <row r="339" spans="1:94" s="12" customFormat="1" ht="15" customHeight="1" x14ac:dyDescent="0.25">
      <c r="A339" s="24" t="s">
        <v>546</v>
      </c>
      <c r="B339" s="13"/>
      <c r="C339" s="13"/>
      <c r="D339" s="13"/>
      <c r="E339" s="13"/>
      <c r="F339" s="13"/>
      <c r="Z339" s="13"/>
      <c r="AA339" s="13"/>
      <c r="AB339" s="13"/>
      <c r="AD339" s="12" t="s">
        <v>551</v>
      </c>
      <c r="AE339" s="12" t="s">
        <v>551</v>
      </c>
      <c r="AF339" s="12" t="s">
        <v>551</v>
      </c>
      <c r="AG339" s="12" t="s">
        <v>551</v>
      </c>
      <c r="AH339" s="12" t="s">
        <v>551</v>
      </c>
      <c r="AI339" s="12" t="s">
        <v>551</v>
      </c>
      <c r="AJ339" s="12" t="s">
        <v>551</v>
      </c>
      <c r="AK339" s="12" t="s">
        <v>551</v>
      </c>
      <c r="AL339" s="12" t="s">
        <v>551</v>
      </c>
      <c r="AM339" s="12" t="s">
        <v>551</v>
      </c>
      <c r="AN339" s="12" t="s">
        <v>551</v>
      </c>
      <c r="AO339" s="12" t="s">
        <v>551</v>
      </c>
      <c r="AP339" s="12" t="s">
        <v>551</v>
      </c>
      <c r="AQ339" s="12" t="s">
        <v>551</v>
      </c>
      <c r="AU339" s="12" t="s">
        <v>548</v>
      </c>
      <c r="BJ339" s="12" t="s">
        <v>494</v>
      </c>
      <c r="BN339" s="12" t="s">
        <v>551</v>
      </c>
      <c r="BO339" s="12" t="s">
        <v>551</v>
      </c>
      <c r="BP339" s="12" t="s">
        <v>551</v>
      </c>
      <c r="BQ339" s="12" t="s">
        <v>551</v>
      </c>
      <c r="BR339" s="12" t="s">
        <v>551</v>
      </c>
      <c r="BS339" s="12" t="s">
        <v>551</v>
      </c>
      <c r="BT339" s="12" t="s">
        <v>551</v>
      </c>
      <c r="BU339" s="12" t="s">
        <v>680</v>
      </c>
      <c r="BV339" s="12" t="s">
        <v>680</v>
      </c>
      <c r="BW339" s="12" t="s">
        <v>680</v>
      </c>
      <c r="BZ339" s="12" t="s">
        <v>198</v>
      </c>
      <c r="CA339" s="12" t="s">
        <v>551</v>
      </c>
      <c r="CB339" s="12" t="s">
        <v>551</v>
      </c>
      <c r="CC339" s="12" t="s">
        <v>551</v>
      </c>
      <c r="CD339" s="12" t="s">
        <v>551</v>
      </c>
      <c r="CE339" s="12" t="s">
        <v>551</v>
      </c>
      <c r="CF339" s="12" t="s">
        <v>551</v>
      </c>
      <c r="CG339" s="12" t="s">
        <v>551</v>
      </c>
      <c r="CH339" s="12" t="s">
        <v>551</v>
      </c>
      <c r="CI339" s="12" t="s">
        <v>551</v>
      </c>
      <c r="CJ339" s="12" t="s">
        <v>551</v>
      </c>
      <c r="CK339" s="12" t="s">
        <v>648</v>
      </c>
      <c r="CL339" s="12" t="s">
        <v>551</v>
      </c>
      <c r="CM339" s="12" t="s">
        <v>551</v>
      </c>
      <c r="CN339" s="12" t="s">
        <v>801</v>
      </c>
      <c r="CP339" s="12" t="s">
        <v>856</v>
      </c>
    </row>
    <row r="340" spans="1:94" s="12" customFormat="1" ht="15" customHeight="1" x14ac:dyDescent="0.25">
      <c r="A340" s="24" t="s">
        <v>182</v>
      </c>
      <c r="B340" s="12">
        <v>80</v>
      </c>
      <c r="C340" s="12">
        <v>1000</v>
      </c>
      <c r="D340" s="12">
        <v>200</v>
      </c>
      <c r="E340" s="12">
        <v>100</v>
      </c>
      <c r="F340" s="12">
        <v>200</v>
      </c>
      <c r="G340" s="12">
        <v>400</v>
      </c>
      <c r="H340" s="12">
        <v>100</v>
      </c>
      <c r="I340" s="12">
        <v>100</v>
      </c>
      <c r="J340" s="12">
        <v>100</v>
      </c>
      <c r="K340" s="12">
        <v>100</v>
      </c>
      <c r="L340" s="12">
        <v>100</v>
      </c>
      <c r="M340" s="12">
        <v>100</v>
      </c>
      <c r="N340" s="12">
        <v>300</v>
      </c>
      <c r="O340" s="12">
        <v>300</v>
      </c>
      <c r="P340" s="12">
        <v>100</v>
      </c>
      <c r="Q340" s="12">
        <v>300</v>
      </c>
      <c r="R340" s="12">
        <v>300</v>
      </c>
      <c r="S340" s="12">
        <v>300</v>
      </c>
      <c r="T340" s="12">
        <v>110</v>
      </c>
      <c r="U340" s="12">
        <v>300</v>
      </c>
      <c r="V340" s="12">
        <v>1800</v>
      </c>
      <c r="W340" s="12">
        <v>1000</v>
      </c>
      <c r="X340" s="12">
        <v>200</v>
      </c>
      <c r="Y340" s="12">
        <v>100</v>
      </c>
      <c r="Z340" s="12">
        <v>1000</v>
      </c>
      <c r="AA340" s="12">
        <v>100</v>
      </c>
      <c r="AB340" s="12">
        <v>100</v>
      </c>
      <c r="AC340" s="12">
        <v>200</v>
      </c>
      <c r="AD340" s="12">
        <v>400</v>
      </c>
      <c r="AE340" s="12">
        <v>300</v>
      </c>
      <c r="AF340" s="12">
        <v>400</v>
      </c>
      <c r="AG340" s="12">
        <v>400</v>
      </c>
      <c r="AH340" s="12">
        <v>300</v>
      </c>
      <c r="AI340" s="12">
        <v>300</v>
      </c>
      <c r="AJ340" s="12">
        <v>400</v>
      </c>
      <c r="AK340" s="12">
        <v>400</v>
      </c>
      <c r="AL340" s="12">
        <v>400</v>
      </c>
      <c r="AM340" s="12">
        <v>400</v>
      </c>
      <c r="AN340" s="12">
        <v>400</v>
      </c>
      <c r="AO340" s="12">
        <v>300</v>
      </c>
      <c r="AP340" s="12">
        <v>300</v>
      </c>
      <c r="AQ340" s="12">
        <v>400</v>
      </c>
      <c r="AR340" s="12">
        <v>100</v>
      </c>
      <c r="AS340" s="12">
        <v>60</v>
      </c>
      <c r="AT340" s="12">
        <v>100</v>
      </c>
      <c r="AU340" s="12">
        <v>100</v>
      </c>
      <c r="AV340" s="12">
        <v>100</v>
      </c>
      <c r="AW340" s="12">
        <v>50</v>
      </c>
      <c r="AX340" s="12">
        <v>130</v>
      </c>
      <c r="AY340" s="12">
        <v>130</v>
      </c>
      <c r="AZ340" s="12">
        <v>150</v>
      </c>
      <c r="BA340" s="12">
        <v>100</v>
      </c>
      <c r="BB340" s="12">
        <v>85</v>
      </c>
      <c r="BC340" s="12">
        <v>100</v>
      </c>
      <c r="BD340" s="12">
        <v>210</v>
      </c>
      <c r="BE340" s="12">
        <v>100</v>
      </c>
      <c r="BF340" s="12">
        <v>200</v>
      </c>
      <c r="BG340" s="12">
        <v>200</v>
      </c>
      <c r="BH340" s="12">
        <v>60</v>
      </c>
      <c r="BI340" s="12">
        <v>60</v>
      </c>
      <c r="BJ340" s="12">
        <v>40</v>
      </c>
      <c r="BK340" s="12">
        <v>100</v>
      </c>
      <c r="BL340" s="12">
        <v>100</v>
      </c>
      <c r="BM340" s="12">
        <v>130</v>
      </c>
      <c r="BN340" s="12">
        <v>650</v>
      </c>
      <c r="BO340" s="12">
        <v>650</v>
      </c>
      <c r="BP340" s="12">
        <v>650</v>
      </c>
      <c r="BQ340" s="12">
        <v>650</v>
      </c>
      <c r="BR340" s="12">
        <v>650</v>
      </c>
      <c r="BS340" s="12">
        <v>650</v>
      </c>
      <c r="BT340" s="12">
        <v>650</v>
      </c>
      <c r="BU340" s="12">
        <v>250</v>
      </c>
      <c r="BV340" s="12">
        <v>250</v>
      </c>
      <c r="BW340" s="12">
        <v>250</v>
      </c>
      <c r="BX340" s="12">
        <v>100</v>
      </c>
      <c r="BZ340" s="12">
        <v>400</v>
      </c>
      <c r="CA340" s="12">
        <v>250</v>
      </c>
      <c r="CB340" s="12">
        <v>250</v>
      </c>
      <c r="CC340" s="12">
        <v>600</v>
      </c>
      <c r="CD340" s="12">
        <v>600</v>
      </c>
      <c r="CE340" s="12">
        <v>600</v>
      </c>
      <c r="CF340" s="12">
        <v>600</v>
      </c>
      <c r="CG340" s="12">
        <v>600</v>
      </c>
      <c r="CH340" s="12">
        <v>600</v>
      </c>
      <c r="CI340" s="12">
        <v>600</v>
      </c>
      <c r="CJ340" s="12">
        <v>400</v>
      </c>
      <c r="CK340" s="12">
        <v>600</v>
      </c>
      <c r="CL340" s="12">
        <v>600</v>
      </c>
      <c r="CM340" s="12">
        <v>600</v>
      </c>
    </row>
    <row r="341" spans="1:94" s="12" customFormat="1" ht="15" customHeight="1" x14ac:dyDescent="0.25">
      <c r="A341" s="24" t="s">
        <v>547</v>
      </c>
      <c r="N341" s="12" t="s">
        <v>784</v>
      </c>
      <c r="O341" s="12" t="s">
        <v>784</v>
      </c>
      <c r="AH341" s="12" t="s">
        <v>785</v>
      </c>
      <c r="AI341" s="12" t="s">
        <v>785</v>
      </c>
      <c r="AU341" s="12" t="s">
        <v>549</v>
      </c>
      <c r="BX341" s="12" t="s">
        <v>704</v>
      </c>
    </row>
    <row r="342" spans="1:94" s="12" customFormat="1" ht="15" customHeight="1" x14ac:dyDescent="0.25">
      <c r="A342" s="24" t="s">
        <v>908</v>
      </c>
      <c r="B342" s="12">
        <v>20</v>
      </c>
      <c r="C342" s="12">
        <v>10</v>
      </c>
      <c r="D342" s="12">
        <v>25</v>
      </c>
      <c r="E342" s="12">
        <v>5</v>
      </c>
      <c r="F342" s="12">
        <v>20</v>
      </c>
      <c r="G342" s="12">
        <v>15</v>
      </c>
      <c r="I342" s="12">
        <v>15</v>
      </c>
      <c r="J342" s="12">
        <v>15</v>
      </c>
      <c r="K342" s="12">
        <v>10</v>
      </c>
      <c r="L342" s="12">
        <v>10</v>
      </c>
      <c r="M342" s="12">
        <v>10</v>
      </c>
      <c r="N342" s="12">
        <v>5</v>
      </c>
      <c r="O342" s="12">
        <v>5</v>
      </c>
      <c r="P342" s="12">
        <v>25</v>
      </c>
      <c r="Q342" s="13"/>
      <c r="T342" s="12">
        <v>26</v>
      </c>
      <c r="U342" s="12">
        <v>25</v>
      </c>
      <c r="V342" s="12">
        <v>22</v>
      </c>
      <c r="W342" s="12">
        <v>10</v>
      </c>
      <c r="X342" s="12">
        <v>25</v>
      </c>
      <c r="Y342" s="12">
        <v>20</v>
      </c>
      <c r="Z342" s="12">
        <v>1</v>
      </c>
      <c r="AA342" s="12">
        <v>20</v>
      </c>
      <c r="AB342" s="12">
        <v>5</v>
      </c>
      <c r="AC342" s="12">
        <v>20</v>
      </c>
      <c r="AD342" s="12">
        <v>1</v>
      </c>
      <c r="AE342" s="12">
        <v>25</v>
      </c>
      <c r="AF342" s="12">
        <v>1</v>
      </c>
      <c r="AG342" s="12">
        <v>1</v>
      </c>
      <c r="AH342" s="12">
        <v>12</v>
      </c>
      <c r="AI342" s="12">
        <v>12</v>
      </c>
      <c r="AJ342" s="12">
        <v>1</v>
      </c>
      <c r="AK342" s="12">
        <v>1</v>
      </c>
      <c r="AO342" s="12">
        <v>35</v>
      </c>
      <c r="AP342" s="12">
        <v>35</v>
      </c>
      <c r="AR342" s="12">
        <v>15</v>
      </c>
      <c r="AS342" s="12">
        <v>15</v>
      </c>
      <c r="AT342" s="12">
        <v>12</v>
      </c>
      <c r="AU342" s="12">
        <v>0.2</v>
      </c>
    </row>
    <row r="343" spans="1:94" s="12" customFormat="1" ht="15" customHeight="1" x14ac:dyDescent="0.25">
      <c r="A343" s="24" t="s">
        <v>183</v>
      </c>
      <c r="B343" s="12">
        <v>0</v>
      </c>
      <c r="C343" s="12">
        <v>2</v>
      </c>
      <c r="D343" s="12">
        <v>2</v>
      </c>
      <c r="E343" s="12">
        <v>2</v>
      </c>
      <c r="F343" s="12">
        <v>1</v>
      </c>
      <c r="G343" s="12">
        <v>4</v>
      </c>
      <c r="H343" s="12">
        <v>1</v>
      </c>
      <c r="I343" s="12">
        <v>1</v>
      </c>
      <c r="J343" s="12">
        <v>1</v>
      </c>
      <c r="K343" s="12">
        <v>0</v>
      </c>
      <c r="L343" s="12">
        <v>0</v>
      </c>
      <c r="M343" s="12">
        <v>0</v>
      </c>
      <c r="N343" s="12">
        <v>0</v>
      </c>
      <c r="O343" s="12">
        <v>0</v>
      </c>
      <c r="P343" s="12">
        <v>0</v>
      </c>
      <c r="Q343" s="12">
        <v>0</v>
      </c>
      <c r="R343" s="12">
        <v>0</v>
      </c>
      <c r="S343" s="12">
        <v>0</v>
      </c>
      <c r="T343" s="12">
        <v>0</v>
      </c>
      <c r="U343" s="12">
        <v>1</v>
      </c>
      <c r="V343" s="12">
        <v>2</v>
      </c>
      <c r="W343" s="12">
        <v>2</v>
      </c>
      <c r="X343" s="12">
        <v>2</v>
      </c>
      <c r="Y343" s="13">
        <v>2</v>
      </c>
      <c r="Z343" s="12">
        <v>2</v>
      </c>
      <c r="AA343" s="12">
        <v>2</v>
      </c>
      <c r="AB343" s="12">
        <v>2</v>
      </c>
      <c r="AC343" s="12">
        <v>1</v>
      </c>
      <c r="AD343" s="12">
        <v>0</v>
      </c>
      <c r="AE343" s="12">
        <v>0</v>
      </c>
      <c r="AF343" s="12">
        <v>0</v>
      </c>
      <c r="AG343" s="12">
        <v>0</v>
      </c>
      <c r="AH343" s="12">
        <v>0</v>
      </c>
      <c r="AI343" s="12">
        <v>0</v>
      </c>
      <c r="AJ343" s="12">
        <v>0</v>
      </c>
      <c r="AK343" s="12">
        <v>0</v>
      </c>
      <c r="AL343" s="12">
        <v>0</v>
      </c>
      <c r="AM343" s="12">
        <v>0</v>
      </c>
      <c r="AN343" s="12">
        <v>0</v>
      </c>
      <c r="AO343" s="12">
        <v>0</v>
      </c>
      <c r="AP343" s="12">
        <v>0</v>
      </c>
      <c r="AR343" s="12">
        <v>1</v>
      </c>
      <c r="AS343" s="12">
        <v>3</v>
      </c>
      <c r="AT343" s="12">
        <v>5</v>
      </c>
      <c r="AU343" s="12">
        <v>2</v>
      </c>
      <c r="AV343" s="12">
        <v>2</v>
      </c>
      <c r="AW343" s="12">
        <v>4</v>
      </c>
      <c r="BC343" s="12">
        <v>0</v>
      </c>
      <c r="BD343" s="12">
        <v>0</v>
      </c>
      <c r="BE343" s="12">
        <v>0</v>
      </c>
      <c r="BF343" s="12">
        <v>0</v>
      </c>
      <c r="BG343" s="12">
        <v>0</v>
      </c>
      <c r="BH343" s="12">
        <v>0</v>
      </c>
      <c r="BZ343" s="12">
        <v>0</v>
      </c>
      <c r="CI343" s="12">
        <v>0</v>
      </c>
      <c r="CJ343" s="12">
        <v>0</v>
      </c>
    </row>
    <row r="344" spans="1:94" s="12" customFormat="1" ht="15" customHeight="1" x14ac:dyDescent="0.25">
      <c r="A344" s="24" t="s">
        <v>184</v>
      </c>
      <c r="B344" s="12">
        <v>14</v>
      </c>
      <c r="C344" s="12">
        <v>14</v>
      </c>
      <c r="D344" s="12">
        <v>13</v>
      </c>
      <c r="E344" s="12">
        <v>13</v>
      </c>
      <c r="F344" s="12">
        <v>13</v>
      </c>
      <c r="G344" s="12">
        <v>11</v>
      </c>
      <c r="H344" s="12">
        <v>13</v>
      </c>
      <c r="I344" s="12">
        <v>13</v>
      </c>
      <c r="J344" s="12">
        <v>13</v>
      </c>
      <c r="K344" s="12">
        <v>14</v>
      </c>
      <c r="L344" s="12">
        <v>14</v>
      </c>
      <c r="M344" s="12">
        <v>14</v>
      </c>
      <c r="N344" s="12">
        <v>14</v>
      </c>
      <c r="O344" s="12">
        <v>14</v>
      </c>
      <c r="P344" s="12">
        <v>14</v>
      </c>
      <c r="Q344" s="12">
        <v>14</v>
      </c>
      <c r="R344" s="12">
        <v>14</v>
      </c>
      <c r="S344" s="12">
        <v>14</v>
      </c>
      <c r="T344" s="12">
        <v>14</v>
      </c>
      <c r="U344" s="12">
        <v>13</v>
      </c>
      <c r="V344" s="12">
        <v>14</v>
      </c>
      <c r="W344" s="12">
        <v>14</v>
      </c>
      <c r="X344" s="12">
        <v>13</v>
      </c>
      <c r="Y344" s="13">
        <v>12</v>
      </c>
      <c r="Z344" s="12">
        <v>13</v>
      </c>
      <c r="AA344" s="12">
        <v>13</v>
      </c>
      <c r="AB344" s="12">
        <v>13</v>
      </c>
      <c r="AC344" s="12">
        <v>13</v>
      </c>
      <c r="AD344" s="12">
        <v>14</v>
      </c>
      <c r="AE344" s="12">
        <v>14</v>
      </c>
      <c r="AF344" s="12">
        <v>14</v>
      </c>
      <c r="AG344" s="12">
        <v>14</v>
      </c>
      <c r="AH344" s="12">
        <v>14</v>
      </c>
      <c r="AI344" s="12">
        <v>14</v>
      </c>
      <c r="AJ344" s="12">
        <v>14</v>
      </c>
      <c r="AK344" s="12">
        <v>14</v>
      </c>
      <c r="AL344" s="12">
        <v>14</v>
      </c>
      <c r="AM344" s="12">
        <v>14</v>
      </c>
      <c r="AN344" s="12">
        <v>14</v>
      </c>
      <c r="AO344" s="12">
        <v>14</v>
      </c>
      <c r="AP344" s="12">
        <v>14</v>
      </c>
      <c r="AR344" s="12">
        <v>13</v>
      </c>
      <c r="AS344" s="12">
        <v>11</v>
      </c>
      <c r="AT344" s="12">
        <v>9</v>
      </c>
      <c r="AU344" s="12">
        <v>13</v>
      </c>
      <c r="AV344" s="12">
        <v>13</v>
      </c>
      <c r="AW344" s="12">
        <v>11</v>
      </c>
      <c r="BC344" s="12">
        <v>14</v>
      </c>
      <c r="BD344" s="12">
        <v>14</v>
      </c>
      <c r="BE344" s="12">
        <v>14</v>
      </c>
      <c r="BF344" s="12">
        <v>14</v>
      </c>
      <c r="BG344" s="12">
        <v>14</v>
      </c>
      <c r="BH344" s="12">
        <v>14</v>
      </c>
      <c r="BZ344" s="12">
        <v>14</v>
      </c>
      <c r="CI344" s="12">
        <v>14</v>
      </c>
      <c r="CJ344" s="12">
        <v>14</v>
      </c>
    </row>
    <row r="345" spans="1:94" s="12" customFormat="1" ht="15" customHeight="1" x14ac:dyDescent="0.25">
      <c r="A345" s="24" t="s">
        <v>185</v>
      </c>
      <c r="V345" s="12">
        <v>2000</v>
      </c>
      <c r="AE345" s="12">
        <v>450</v>
      </c>
      <c r="AO345" s="12">
        <v>450</v>
      </c>
      <c r="AP345" s="12">
        <v>450</v>
      </c>
      <c r="AR345" s="12">
        <v>100</v>
      </c>
      <c r="AS345" s="12">
        <v>100</v>
      </c>
    </row>
    <row r="346" spans="1:94" s="12" customFormat="1" ht="15" customHeight="1" x14ac:dyDescent="0.25">
      <c r="A346" s="24" t="s">
        <v>186</v>
      </c>
      <c r="V346" s="12">
        <v>2000</v>
      </c>
      <c r="AE346" s="12">
        <v>450</v>
      </c>
      <c r="AO346" s="12">
        <v>450</v>
      </c>
      <c r="AP346" s="12">
        <v>450</v>
      </c>
      <c r="AR346" s="12">
        <v>100</v>
      </c>
      <c r="AS346" s="12">
        <v>100</v>
      </c>
    </row>
    <row r="347" spans="1:94" s="12" customFormat="1" ht="15" customHeight="1" x14ac:dyDescent="0.25">
      <c r="A347" s="24" t="s">
        <v>187</v>
      </c>
      <c r="AE347" s="12">
        <v>95000</v>
      </c>
      <c r="AO347" s="12">
        <v>95000</v>
      </c>
      <c r="AP347" s="12">
        <v>95000</v>
      </c>
    </row>
    <row r="348" spans="1:94" s="12" customFormat="1" ht="15" customHeight="1" x14ac:dyDescent="0.25">
      <c r="A348" s="24" t="s">
        <v>188</v>
      </c>
      <c r="AE348" s="12">
        <v>95000</v>
      </c>
      <c r="AO348" s="12">
        <v>95000</v>
      </c>
      <c r="AP348" s="12">
        <v>95000</v>
      </c>
    </row>
    <row r="349" spans="1:94" s="12" customFormat="1" ht="15" customHeight="1" x14ac:dyDescent="0.25">
      <c r="A349" s="24" t="s">
        <v>278</v>
      </c>
      <c r="AO349" s="12">
        <v>900</v>
      </c>
      <c r="AP349" s="12">
        <v>900</v>
      </c>
    </row>
    <row r="350" spans="1:94" s="12" customFormat="1" ht="15" customHeight="1" x14ac:dyDescent="0.25">
      <c r="A350" s="24" t="s">
        <v>455</v>
      </c>
      <c r="BD350" s="12">
        <v>150</v>
      </c>
      <c r="BE350" s="12">
        <v>50</v>
      </c>
      <c r="BN350" s="12">
        <v>200</v>
      </c>
      <c r="BO350" s="12">
        <v>200</v>
      </c>
      <c r="BP350" s="12">
        <v>200</v>
      </c>
      <c r="BQ350" s="12">
        <v>200</v>
      </c>
      <c r="BR350" s="12">
        <v>100</v>
      </c>
    </row>
    <row r="351" spans="1:94" s="12" customFormat="1" ht="15" customHeight="1" x14ac:dyDescent="0.25">
      <c r="A351" s="24" t="s">
        <v>456</v>
      </c>
      <c r="BD351" s="12">
        <v>150</v>
      </c>
      <c r="BE351" s="12">
        <v>50</v>
      </c>
      <c r="BN351" s="12">
        <v>200</v>
      </c>
      <c r="BO351" s="12">
        <v>200</v>
      </c>
      <c r="BP351" s="12">
        <v>200</v>
      </c>
      <c r="BQ351" s="12">
        <v>200</v>
      </c>
      <c r="BR351" s="12">
        <v>100</v>
      </c>
    </row>
    <row r="352" spans="1:94" s="12" customFormat="1" ht="15" customHeight="1" x14ac:dyDescent="0.25">
      <c r="A352" s="24" t="s">
        <v>590</v>
      </c>
      <c r="BN352" s="12" t="s">
        <v>591</v>
      </c>
      <c r="BO352" s="12" t="s">
        <v>591</v>
      </c>
      <c r="BP352" s="12" t="s">
        <v>591</v>
      </c>
      <c r="BQ352" s="12" t="s">
        <v>591</v>
      </c>
      <c r="BR352" s="12" t="s">
        <v>614</v>
      </c>
    </row>
    <row r="353" spans="1:94" s="8" customFormat="1" ht="15" customHeight="1" x14ac:dyDescent="0.25">
      <c r="A353" s="22" t="s">
        <v>204</v>
      </c>
      <c r="O353" s="8" t="s">
        <v>214</v>
      </c>
      <c r="AF353" s="8" t="s">
        <v>214</v>
      </c>
      <c r="AG353" s="8" t="s">
        <v>214</v>
      </c>
      <c r="AK353" s="8" t="s">
        <v>214</v>
      </c>
      <c r="AN353" s="8" t="s">
        <v>214</v>
      </c>
      <c r="BU353" s="8" t="s">
        <v>214</v>
      </c>
      <c r="CI353" s="8" t="s">
        <v>214</v>
      </c>
      <c r="CJ353" s="8" t="s">
        <v>214</v>
      </c>
      <c r="CK353" s="8" t="s">
        <v>214</v>
      </c>
      <c r="CL353" s="8" t="s">
        <v>214</v>
      </c>
    </row>
    <row r="354" spans="1:94" s="8" customFormat="1" ht="15" customHeight="1" x14ac:dyDescent="0.25">
      <c r="A354" s="22" t="s">
        <v>205</v>
      </c>
      <c r="O354" s="8" t="s">
        <v>214</v>
      </c>
      <c r="Q354" s="8" t="s">
        <v>214</v>
      </c>
      <c r="S354" s="8" t="s">
        <v>214</v>
      </c>
      <c r="AF354" s="8" t="s">
        <v>214</v>
      </c>
      <c r="AG354" s="8" t="s">
        <v>214</v>
      </c>
      <c r="AK354" s="8" t="s">
        <v>214</v>
      </c>
      <c r="AN354" s="8" t="s">
        <v>214</v>
      </c>
      <c r="AX354" s="8" t="s">
        <v>214</v>
      </c>
      <c r="BB354" s="8" t="s">
        <v>214</v>
      </c>
      <c r="BC354" s="8" t="s">
        <v>214</v>
      </c>
      <c r="BF354" s="8" t="s">
        <v>214</v>
      </c>
      <c r="BK354" s="8" t="s">
        <v>214</v>
      </c>
      <c r="BP354" s="8" t="s">
        <v>214</v>
      </c>
      <c r="BU354" s="8" t="s">
        <v>214</v>
      </c>
      <c r="CI354" s="8" t="s">
        <v>214</v>
      </c>
      <c r="CJ354" s="8" t="s">
        <v>214</v>
      </c>
      <c r="CK354" s="8" t="s">
        <v>214</v>
      </c>
      <c r="CL354" s="8" t="s">
        <v>214</v>
      </c>
    </row>
    <row r="355" spans="1:94" s="8" customFormat="1" ht="15" customHeight="1" x14ac:dyDescent="0.25">
      <c r="A355" s="22" t="s">
        <v>203</v>
      </c>
      <c r="Q355" s="8" t="s">
        <v>214</v>
      </c>
      <c r="R355" s="8" t="s">
        <v>214</v>
      </c>
      <c r="X355" s="8" t="s">
        <v>214</v>
      </c>
      <c r="Y355" s="8" t="s">
        <v>214</v>
      </c>
      <c r="AC355" s="8" t="s">
        <v>214</v>
      </c>
      <c r="AL355" s="8" t="s">
        <v>214</v>
      </c>
      <c r="AM355" s="8" t="s">
        <v>214</v>
      </c>
      <c r="BC355" s="8" t="s">
        <v>214</v>
      </c>
      <c r="BK355" s="8" t="s">
        <v>214</v>
      </c>
      <c r="BL355" s="8" t="s">
        <v>214</v>
      </c>
      <c r="BM355" s="8" t="s">
        <v>214</v>
      </c>
      <c r="BN355" s="8" t="s">
        <v>214</v>
      </c>
      <c r="BT355" s="8" t="s">
        <v>214</v>
      </c>
      <c r="BV355" s="8" t="s">
        <v>214</v>
      </c>
      <c r="BW355" s="8" t="s">
        <v>214</v>
      </c>
      <c r="BZ355" s="8" t="s">
        <v>214</v>
      </c>
      <c r="CA355" s="8" t="s">
        <v>214</v>
      </c>
      <c r="CB355" s="8" t="s">
        <v>214</v>
      </c>
      <c r="CG355" s="8" t="s">
        <v>214</v>
      </c>
      <c r="CH355" s="8" t="s">
        <v>214</v>
      </c>
      <c r="CM355" s="8" t="s">
        <v>214</v>
      </c>
      <c r="CN355" s="8" t="s">
        <v>214</v>
      </c>
      <c r="CO355" s="8" t="s">
        <v>214</v>
      </c>
      <c r="CP355" s="8" t="s">
        <v>214</v>
      </c>
    </row>
    <row r="356" spans="1:94" s="8" customFormat="1" ht="15" customHeight="1" x14ac:dyDescent="0.25">
      <c r="A356" s="22" t="s">
        <v>202</v>
      </c>
      <c r="L356" s="8" t="s">
        <v>214</v>
      </c>
      <c r="O356" s="8" t="s">
        <v>214</v>
      </c>
      <c r="BA356" s="8" t="s">
        <v>214</v>
      </c>
      <c r="BB356" s="8" t="s">
        <v>214</v>
      </c>
      <c r="BC356" s="8" t="s">
        <v>214</v>
      </c>
      <c r="BD356" s="8" t="s">
        <v>214</v>
      </c>
      <c r="BE356" s="8" t="s">
        <v>214</v>
      </c>
      <c r="BF356" s="8" t="s">
        <v>214</v>
      </c>
      <c r="BG356" s="8" t="s">
        <v>214</v>
      </c>
    </row>
    <row r="357" spans="1:94" s="8" customFormat="1" ht="15" customHeight="1" x14ac:dyDescent="0.25">
      <c r="A357" s="22" t="s">
        <v>201</v>
      </c>
      <c r="J357" s="8" t="s">
        <v>214</v>
      </c>
      <c r="K357" s="8" t="s">
        <v>214</v>
      </c>
      <c r="O357" s="8" t="s">
        <v>214</v>
      </c>
      <c r="Z357" s="8" t="s">
        <v>214</v>
      </c>
      <c r="AA357" s="8" t="s">
        <v>214</v>
      </c>
      <c r="AB357" s="8" t="s">
        <v>214</v>
      </c>
      <c r="BA357" s="8" t="s">
        <v>214</v>
      </c>
      <c r="BC357" s="8" t="s">
        <v>214</v>
      </c>
      <c r="BD357" s="8" t="s">
        <v>214</v>
      </c>
      <c r="BF357" s="8" t="s">
        <v>214</v>
      </c>
      <c r="BK357" s="8" t="s">
        <v>214</v>
      </c>
    </row>
    <row r="358" spans="1:94" s="8" customFormat="1" ht="15" customHeight="1" x14ac:dyDescent="0.25">
      <c r="A358" s="22" t="s">
        <v>206</v>
      </c>
      <c r="I358" s="8" t="s">
        <v>214</v>
      </c>
      <c r="Y358" s="8" t="s">
        <v>214</v>
      </c>
      <c r="AX358" s="8" t="s">
        <v>214</v>
      </c>
      <c r="BK358" s="8" t="s">
        <v>214</v>
      </c>
      <c r="BP358" s="8" t="s">
        <v>214</v>
      </c>
    </row>
    <row r="359" spans="1:94" s="8" customFormat="1" ht="15" customHeight="1" x14ac:dyDescent="0.25">
      <c r="A359" s="22" t="s">
        <v>207</v>
      </c>
      <c r="AX359" s="8" t="s">
        <v>214</v>
      </c>
      <c r="BJ359" s="8" t="s">
        <v>214</v>
      </c>
      <c r="BK359" s="8" t="s">
        <v>214</v>
      </c>
    </row>
    <row r="360" spans="1:94" s="8" customFormat="1" ht="15" customHeight="1" x14ac:dyDescent="0.25">
      <c r="A360" s="22" t="s">
        <v>208</v>
      </c>
      <c r="L360" s="8" t="s">
        <v>214</v>
      </c>
    </row>
    <row r="361" spans="1:94" s="8" customFormat="1" ht="15" customHeight="1" x14ac:dyDescent="0.25">
      <c r="A361" s="22" t="s">
        <v>209</v>
      </c>
      <c r="AX361" s="8" t="s">
        <v>214</v>
      </c>
      <c r="BF361" s="8" t="s">
        <v>214</v>
      </c>
      <c r="BJ361" s="8" t="s">
        <v>214</v>
      </c>
      <c r="BK361" s="8" t="s">
        <v>214</v>
      </c>
      <c r="BU361" s="8" t="s">
        <v>214</v>
      </c>
    </row>
    <row r="362" spans="1:94" s="8" customFormat="1" ht="15" customHeight="1" x14ac:dyDescent="0.25">
      <c r="A362" s="22" t="s">
        <v>210</v>
      </c>
      <c r="O362" s="8" t="s">
        <v>214</v>
      </c>
      <c r="Q362" s="8" t="s">
        <v>214</v>
      </c>
      <c r="S362" s="8" t="s">
        <v>214</v>
      </c>
      <c r="AF362" s="8" t="s">
        <v>214</v>
      </c>
      <c r="AX362" s="8" t="s">
        <v>214</v>
      </c>
      <c r="BE362" s="8" t="s">
        <v>214</v>
      </c>
      <c r="BF362" s="8" t="s">
        <v>214</v>
      </c>
      <c r="BK362" s="8" t="s">
        <v>214</v>
      </c>
    </row>
    <row r="363" spans="1:94" s="8" customFormat="1" ht="15" customHeight="1" x14ac:dyDescent="0.25">
      <c r="A363" s="22" t="s">
        <v>211</v>
      </c>
      <c r="AQ363" s="8" t="s">
        <v>214</v>
      </c>
    </row>
    <row r="364" spans="1:94" s="8" customFormat="1" ht="15" customHeight="1" x14ac:dyDescent="0.25">
      <c r="A364" s="22" t="s">
        <v>212</v>
      </c>
      <c r="AG364" s="8" t="s">
        <v>214</v>
      </c>
    </row>
    <row r="365" spans="1:94" s="8" customFormat="1" ht="15" customHeight="1" x14ac:dyDescent="0.25">
      <c r="A365" s="22" t="s">
        <v>213</v>
      </c>
      <c r="AF365" s="8" t="s">
        <v>214</v>
      </c>
      <c r="AQ365" s="8" t="s">
        <v>214</v>
      </c>
    </row>
    <row r="366" spans="1:94" s="8" customFormat="1" ht="15" customHeight="1" x14ac:dyDescent="0.25">
      <c r="A366" s="22" t="s">
        <v>446</v>
      </c>
      <c r="BC366" s="8" t="s">
        <v>214</v>
      </c>
    </row>
    <row r="367" spans="1:94" s="8" customFormat="1" ht="15" customHeight="1" x14ac:dyDescent="0.25">
      <c r="A367" s="22" t="s">
        <v>348</v>
      </c>
      <c r="Q367" s="8" t="s">
        <v>95</v>
      </c>
      <c r="R367" s="8" t="s">
        <v>102</v>
      </c>
      <c r="X367" s="8" t="s">
        <v>131</v>
      </c>
      <c r="Y367" s="8" t="s">
        <v>136</v>
      </c>
      <c r="AC367" s="8" t="s">
        <v>153</v>
      </c>
      <c r="AL367" s="8" t="s">
        <v>255</v>
      </c>
      <c r="AM367" s="8" t="s">
        <v>262</v>
      </c>
      <c r="BC367" s="8" t="s">
        <v>448</v>
      </c>
      <c r="BK367" s="8" t="s">
        <v>502</v>
      </c>
      <c r="BL367" s="8" t="s">
        <v>508</v>
      </c>
      <c r="BM367" s="8" t="s">
        <v>512</v>
      </c>
      <c r="BN367" s="8" t="s">
        <v>588</v>
      </c>
      <c r="BT367" s="8" t="s">
        <v>633</v>
      </c>
      <c r="BV367" s="8" t="s">
        <v>688</v>
      </c>
      <c r="BW367" s="8" t="s">
        <v>693</v>
      </c>
      <c r="BZ367" s="8" t="s">
        <v>268</v>
      </c>
      <c r="CA367" s="8" t="s">
        <v>539</v>
      </c>
      <c r="CB367" s="8" t="s">
        <v>550</v>
      </c>
      <c r="CG367" s="8" t="s">
        <v>569</v>
      </c>
      <c r="CH367" s="8" t="s">
        <v>572</v>
      </c>
      <c r="CM367" s="8" t="s">
        <v>569</v>
      </c>
      <c r="CN367" s="8" t="s">
        <v>828</v>
      </c>
      <c r="CO367" s="8" t="s">
        <v>835</v>
      </c>
      <c r="CP367" s="8" t="s">
        <v>857</v>
      </c>
    </row>
    <row r="368" spans="1:94" s="8" customFormat="1" ht="15" customHeight="1" x14ac:dyDescent="0.25">
      <c r="A368" s="22" t="s">
        <v>349</v>
      </c>
      <c r="O368" s="8" t="s">
        <v>87</v>
      </c>
      <c r="AF368" s="8" t="s">
        <v>194</v>
      </c>
      <c r="AG368" s="8" t="s">
        <v>220</v>
      </c>
      <c r="AK368" s="8" t="s">
        <v>244</v>
      </c>
      <c r="AN368" s="8" t="s">
        <v>280</v>
      </c>
      <c r="BU368" s="8" t="s">
        <v>681</v>
      </c>
      <c r="CI368" s="8" t="s">
        <v>605</v>
      </c>
      <c r="CJ368" s="8" t="s">
        <v>639</v>
      </c>
      <c r="CK368" s="8" t="s">
        <v>649</v>
      </c>
      <c r="CL368" s="8" t="s">
        <v>656</v>
      </c>
    </row>
    <row r="369" spans="1:94" s="8" customFormat="1" ht="15" customHeight="1" x14ac:dyDescent="0.25">
      <c r="A369" s="22" t="s">
        <v>350</v>
      </c>
      <c r="O369" s="8" t="s">
        <v>87</v>
      </c>
      <c r="Q369" s="8" t="s">
        <v>94</v>
      </c>
      <c r="S369" s="8" t="s">
        <v>109</v>
      </c>
      <c r="AF369" s="8" t="s">
        <v>193</v>
      </c>
      <c r="AG369" s="8" t="s">
        <v>220</v>
      </c>
      <c r="AK369" s="8" t="s">
        <v>244</v>
      </c>
      <c r="AN369" s="8" t="s">
        <v>280</v>
      </c>
      <c r="AX369" s="8" t="s">
        <v>386</v>
      </c>
      <c r="BB369" s="8" t="s">
        <v>438</v>
      </c>
      <c r="BC369" s="8" t="s">
        <v>447</v>
      </c>
      <c r="BF369" s="8" t="s">
        <v>470</v>
      </c>
      <c r="BK369" s="8" t="s">
        <v>503</v>
      </c>
      <c r="BP369" s="8" t="s">
        <v>593</v>
      </c>
      <c r="BU369" s="8" t="s">
        <v>681</v>
      </c>
      <c r="CI369" s="8" t="s">
        <v>605</v>
      </c>
      <c r="CJ369" s="8" t="s">
        <v>639</v>
      </c>
      <c r="CK369" s="8" t="s">
        <v>649</v>
      </c>
      <c r="CL369" s="8" t="s">
        <v>656</v>
      </c>
    </row>
    <row r="370" spans="1:94" s="8" customFormat="1" ht="15" customHeight="1" x14ac:dyDescent="0.25">
      <c r="A370" s="22" t="s">
        <v>903</v>
      </c>
      <c r="O370" s="8" t="s">
        <v>123</v>
      </c>
      <c r="Q370" s="8" t="s">
        <v>125</v>
      </c>
      <c r="S370" s="8" t="s">
        <v>125</v>
      </c>
      <c r="AF370" s="8" t="s">
        <v>195</v>
      </c>
      <c r="AG370" s="8" t="s">
        <v>222</v>
      </c>
      <c r="AK370" s="8" t="s">
        <v>245</v>
      </c>
      <c r="AN370" s="8" t="s">
        <v>281</v>
      </c>
      <c r="AX370" s="8" t="s">
        <v>222</v>
      </c>
      <c r="BB370" s="8" t="s">
        <v>439</v>
      </c>
      <c r="BC370" s="8" t="s">
        <v>449</v>
      </c>
      <c r="BF370" s="8" t="s">
        <v>222</v>
      </c>
      <c r="BK370" s="8" t="s">
        <v>504</v>
      </c>
      <c r="BP370" s="8" t="s">
        <v>594</v>
      </c>
      <c r="BU370" s="8" t="s">
        <v>594</v>
      </c>
      <c r="CI370" s="8" t="s">
        <v>606</v>
      </c>
      <c r="CJ370" s="8" t="s">
        <v>640</v>
      </c>
      <c r="CK370" s="8" t="s">
        <v>650</v>
      </c>
      <c r="CL370" s="8" t="s">
        <v>657</v>
      </c>
    </row>
    <row r="371" spans="1:94" s="8" customFormat="1" ht="15" customHeight="1" x14ac:dyDescent="0.25">
      <c r="A371" s="22" t="s">
        <v>904</v>
      </c>
      <c r="O371" s="8" t="s">
        <v>124</v>
      </c>
      <c r="Q371" s="8" t="s">
        <v>126</v>
      </c>
      <c r="AF371" s="8" t="s">
        <v>196</v>
      </c>
      <c r="AG371" s="8" t="s">
        <v>223</v>
      </c>
      <c r="AK371" s="8" t="s">
        <v>246</v>
      </c>
      <c r="AN371" s="8" t="s">
        <v>282</v>
      </c>
      <c r="CI371" s="8" t="s">
        <v>607</v>
      </c>
      <c r="CJ371" s="8" t="s">
        <v>641</v>
      </c>
      <c r="CK371" s="8" t="s">
        <v>651</v>
      </c>
      <c r="CL371" s="8" t="s">
        <v>658</v>
      </c>
    </row>
    <row r="372" spans="1:94" s="8" customFormat="1" ht="15" customHeight="1" x14ac:dyDescent="0.25">
      <c r="A372" s="22" t="s">
        <v>905</v>
      </c>
      <c r="AF372" s="8" t="s">
        <v>197</v>
      </c>
      <c r="CJ372" s="8" t="s">
        <v>642</v>
      </c>
      <c r="CK372" s="8" t="s">
        <v>652</v>
      </c>
    </row>
    <row r="373" spans="1:94" s="8" customFormat="1" ht="15" customHeight="1" x14ac:dyDescent="0.25">
      <c r="A373" s="22" t="s">
        <v>906</v>
      </c>
      <c r="CJ373" s="8" t="s">
        <v>643</v>
      </c>
    </row>
    <row r="374" spans="1:94" s="8" customFormat="1" ht="15" customHeight="1" x14ac:dyDescent="0.25">
      <c r="A374" s="22" t="s">
        <v>907</v>
      </c>
      <c r="CJ374" s="8" t="s">
        <v>644</v>
      </c>
    </row>
    <row r="375" spans="1:94" s="14" customFormat="1" ht="15" customHeight="1" x14ac:dyDescent="0.25">
      <c r="A375" s="25" t="s">
        <v>1</v>
      </c>
      <c r="B375" s="14" t="s">
        <v>127</v>
      </c>
      <c r="C375" s="14" t="s">
        <v>2</v>
      </c>
      <c r="D375" s="14" t="s">
        <v>22</v>
      </c>
      <c r="E375" s="14" t="s">
        <v>30</v>
      </c>
      <c r="F375" s="14" t="s">
        <v>36</v>
      </c>
      <c r="G375" s="14" t="s">
        <v>44</v>
      </c>
      <c r="H375" s="14" t="s">
        <v>49</v>
      </c>
      <c r="I375" s="14" t="s">
        <v>56</v>
      </c>
      <c r="J375" s="14" t="s">
        <v>56</v>
      </c>
      <c r="K375" s="14" t="s">
        <v>66</v>
      </c>
      <c r="L375" s="14" t="s">
        <v>72</v>
      </c>
      <c r="M375" s="14" t="s">
        <v>66</v>
      </c>
      <c r="N375" s="14" t="s">
        <v>72</v>
      </c>
      <c r="O375" s="14" t="s">
        <v>72</v>
      </c>
      <c r="P375" s="14" t="s">
        <v>13</v>
      </c>
      <c r="Q375" s="14" t="s">
        <v>101</v>
      </c>
      <c r="R375" s="14" t="s">
        <v>100</v>
      </c>
      <c r="S375" s="14" t="s">
        <v>108</v>
      </c>
      <c r="T375" s="14" t="s">
        <v>113</v>
      </c>
      <c r="U375" s="14" t="s">
        <v>117</v>
      </c>
      <c r="V375" s="14" t="s">
        <v>122</v>
      </c>
      <c r="W375" s="14" t="s">
        <v>2</v>
      </c>
      <c r="X375" s="14" t="s">
        <v>2</v>
      </c>
      <c r="Y375" s="14" t="s">
        <v>32</v>
      </c>
      <c r="Z375" s="14" t="s">
        <v>142</v>
      </c>
      <c r="AA375" s="14" t="s">
        <v>142</v>
      </c>
      <c r="AB375" s="14" t="s">
        <v>142</v>
      </c>
      <c r="AC375" s="14" t="s">
        <v>36</v>
      </c>
      <c r="AD375" s="14" t="s">
        <v>157</v>
      </c>
      <c r="AE375" s="14" t="s">
        <v>163</v>
      </c>
      <c r="AF375" s="14" t="s">
        <v>199</v>
      </c>
      <c r="AG375" s="14" t="s">
        <v>199</v>
      </c>
      <c r="AH375" s="14" t="s">
        <v>227</v>
      </c>
      <c r="AI375" s="14" t="s">
        <v>228</v>
      </c>
      <c r="AJ375" s="14" t="s">
        <v>198</v>
      </c>
      <c r="AK375" s="14" t="s">
        <v>198</v>
      </c>
      <c r="AL375" s="14" t="s">
        <v>198</v>
      </c>
      <c r="AM375" s="14" t="s">
        <v>181</v>
      </c>
      <c r="AN375" s="14" t="s">
        <v>198</v>
      </c>
      <c r="AO375" s="14" t="s">
        <v>198</v>
      </c>
      <c r="AP375" s="14" t="s">
        <v>198</v>
      </c>
      <c r="AQ375" s="14" t="s">
        <v>199</v>
      </c>
      <c r="AR375" s="14" t="s">
        <v>56</v>
      </c>
      <c r="AS375" s="14" t="s">
        <v>32</v>
      </c>
      <c r="AT375" s="14" t="s">
        <v>712</v>
      </c>
      <c r="AU375" s="14" t="s">
        <v>367</v>
      </c>
      <c r="AV375" s="14" t="s">
        <v>358</v>
      </c>
      <c r="AX375" s="14" t="s">
        <v>387</v>
      </c>
      <c r="AY375" s="14" t="s">
        <v>387</v>
      </c>
      <c r="AZ375" s="14" t="s">
        <v>387</v>
      </c>
      <c r="BA375" s="14" t="s">
        <v>421</v>
      </c>
      <c r="BB375" s="14" t="s">
        <v>387</v>
      </c>
      <c r="BC375" s="14" t="s">
        <v>387</v>
      </c>
      <c r="BD375" s="14" t="s">
        <v>457</v>
      </c>
      <c r="BE375" s="14" t="s">
        <v>463</v>
      </c>
      <c r="BF375" s="14" t="s">
        <v>471</v>
      </c>
      <c r="BG375" s="14" t="s">
        <v>471</v>
      </c>
      <c r="BH375" s="14" t="s">
        <v>387</v>
      </c>
      <c r="BI375" s="14" t="s">
        <v>387</v>
      </c>
      <c r="BJ375" s="14" t="s">
        <v>387</v>
      </c>
      <c r="BK375" s="14" t="s">
        <v>387</v>
      </c>
      <c r="BL375" s="14" t="s">
        <v>387</v>
      </c>
      <c r="BM375" s="14" t="s">
        <v>387</v>
      </c>
      <c r="BN375" s="14" t="s">
        <v>578</v>
      </c>
      <c r="BO375" s="14" t="s">
        <v>587</v>
      </c>
      <c r="BP375" s="14" t="s">
        <v>578</v>
      </c>
      <c r="BQ375" s="14" t="s">
        <v>599</v>
      </c>
      <c r="BR375" s="14" t="s">
        <v>611</v>
      </c>
      <c r="BS375" s="14" t="s">
        <v>618</v>
      </c>
      <c r="BT375" s="14" t="s">
        <v>632</v>
      </c>
      <c r="BU375" s="14" t="s">
        <v>687</v>
      </c>
      <c r="BV375" s="14" t="s">
        <v>687</v>
      </c>
      <c r="BW375" s="14" t="s">
        <v>687</v>
      </c>
      <c r="BX375" s="14" t="s">
        <v>703</v>
      </c>
      <c r="BZ375" s="14" t="s">
        <v>198</v>
      </c>
      <c r="CA375" s="14" t="s">
        <v>519</v>
      </c>
      <c r="CB375" s="14" t="s">
        <v>519</v>
      </c>
      <c r="CE375" s="14" t="s">
        <v>562</v>
      </c>
      <c r="CN375" s="14" t="s">
        <v>799</v>
      </c>
      <c r="CO375" s="14" t="s">
        <v>836</v>
      </c>
      <c r="CP375" s="14" t="s">
        <v>858</v>
      </c>
    </row>
    <row r="376" spans="1:94" s="14" customFormat="1" ht="15" customHeight="1" x14ac:dyDescent="0.25">
      <c r="A376" s="25" t="s">
        <v>3</v>
      </c>
      <c r="B376" s="14" t="s">
        <v>12</v>
      </c>
      <c r="C376" s="14" t="s">
        <v>6</v>
      </c>
      <c r="D376" s="14" t="s">
        <v>23</v>
      </c>
      <c r="E376" s="14" t="s">
        <v>31</v>
      </c>
      <c r="F376" s="14" t="s">
        <v>37</v>
      </c>
      <c r="G376" s="14" t="s">
        <v>45</v>
      </c>
      <c r="H376" s="14" t="s">
        <v>50</v>
      </c>
      <c r="J376" s="14" t="s">
        <v>60</v>
      </c>
      <c r="K376" s="14" t="s">
        <v>67</v>
      </c>
      <c r="L376" s="14" t="s">
        <v>66</v>
      </c>
      <c r="M376" s="14" t="s">
        <v>67</v>
      </c>
      <c r="N376" s="14" t="s">
        <v>66</v>
      </c>
      <c r="O376" s="14" t="s">
        <v>66</v>
      </c>
      <c r="P376" s="14" t="s">
        <v>66</v>
      </c>
      <c r="Q376" s="14" t="s">
        <v>66</v>
      </c>
      <c r="R376" s="14" t="s">
        <v>66</v>
      </c>
      <c r="S376" s="14" t="s">
        <v>23</v>
      </c>
      <c r="T376" s="14" t="s">
        <v>66</v>
      </c>
      <c r="U376" s="14" t="s">
        <v>23</v>
      </c>
      <c r="V376" s="14" t="s">
        <v>23</v>
      </c>
      <c r="W376" s="14" t="s">
        <v>4</v>
      </c>
      <c r="X376" s="14" t="s">
        <v>132</v>
      </c>
      <c r="Y376" s="14" t="s">
        <v>2</v>
      </c>
      <c r="Z376" s="14" t="s">
        <v>31</v>
      </c>
      <c r="AA376" s="14" t="s">
        <v>31</v>
      </c>
      <c r="AB376" s="14" t="s">
        <v>31</v>
      </c>
      <c r="AC376" s="14" t="s">
        <v>37</v>
      </c>
      <c r="AD376" s="14" t="s">
        <v>158</v>
      </c>
      <c r="AE376" s="14" t="s">
        <v>164</v>
      </c>
      <c r="AF376" s="14" t="s">
        <v>200</v>
      </c>
      <c r="AG376" s="14" t="s">
        <v>221</v>
      </c>
      <c r="AH376" s="14" t="s">
        <v>228</v>
      </c>
      <c r="AJ376" s="14" t="s">
        <v>157</v>
      </c>
      <c r="AK376" s="14" t="s">
        <v>247</v>
      </c>
      <c r="AL376" s="14" t="s">
        <v>256</v>
      </c>
      <c r="AM376" s="14" t="s">
        <v>256</v>
      </c>
      <c r="AN376" s="14" t="s">
        <v>283</v>
      </c>
      <c r="AO376" s="14" t="s">
        <v>279</v>
      </c>
      <c r="AP376" s="14" t="s">
        <v>279</v>
      </c>
      <c r="AQ376" s="14" t="s">
        <v>221</v>
      </c>
      <c r="AR376" s="14" t="s">
        <v>296</v>
      </c>
      <c r="AS376" s="14" t="s">
        <v>300</v>
      </c>
      <c r="AT376" s="14" t="s">
        <v>74</v>
      </c>
      <c r="AU376" s="14" t="s">
        <v>364</v>
      </c>
      <c r="AV376" s="14" t="s">
        <v>913</v>
      </c>
      <c r="BA376" s="14" t="s">
        <v>425</v>
      </c>
      <c r="BD376" s="14" t="s">
        <v>458</v>
      </c>
      <c r="BE376" s="14" t="s">
        <v>580</v>
      </c>
      <c r="BF376" s="14" t="s">
        <v>476</v>
      </c>
      <c r="BG376" s="14" t="s">
        <v>477</v>
      </c>
      <c r="BJ376" s="14" t="s">
        <v>494</v>
      </c>
      <c r="BN376" s="14" t="s">
        <v>579</v>
      </c>
      <c r="BO376" s="14" t="s">
        <v>579</v>
      </c>
      <c r="BP376" s="14" t="s">
        <v>579</v>
      </c>
      <c r="BQ376" s="14" t="s">
        <v>579</v>
      </c>
      <c r="BR376" s="14" t="s">
        <v>613</v>
      </c>
      <c r="BS376" s="14" t="s">
        <v>619</v>
      </c>
      <c r="BT376" s="14" t="s">
        <v>619</v>
      </c>
      <c r="BU376" s="14" t="s">
        <v>600</v>
      </c>
      <c r="BV376" s="14" t="s">
        <v>600</v>
      </c>
      <c r="BW376" s="14" t="s">
        <v>600</v>
      </c>
      <c r="BZ376" s="14" t="s">
        <v>269</v>
      </c>
      <c r="CA376" s="14" t="s">
        <v>521</v>
      </c>
      <c r="CB376" s="14" t="s">
        <v>521</v>
      </c>
      <c r="CN376" s="14" t="s">
        <v>800</v>
      </c>
      <c r="CO376" s="14" t="s">
        <v>837</v>
      </c>
    </row>
    <row r="377" spans="1:94" s="14" customFormat="1" ht="15" customHeight="1" x14ac:dyDescent="0.25">
      <c r="A377" s="25" t="s">
        <v>5</v>
      </c>
      <c r="B377" s="14" t="s">
        <v>169</v>
      </c>
      <c r="D377" s="14" t="s">
        <v>24</v>
      </c>
      <c r="E377" s="14" t="s">
        <v>32</v>
      </c>
      <c r="F377" s="14" t="s">
        <v>38</v>
      </c>
      <c r="H377" s="14" t="s">
        <v>51</v>
      </c>
      <c r="J377" s="14" t="s">
        <v>61</v>
      </c>
      <c r="K377" s="14" t="s">
        <v>68</v>
      </c>
      <c r="L377" s="14" t="s">
        <v>67</v>
      </c>
      <c r="M377" s="14" t="s">
        <v>73</v>
      </c>
      <c r="N377" s="14" t="s">
        <v>67</v>
      </c>
      <c r="O377" s="14" t="s">
        <v>67</v>
      </c>
      <c r="P377" s="14" t="s">
        <v>67</v>
      </c>
      <c r="Q377" s="14" t="s">
        <v>67</v>
      </c>
      <c r="R377" s="14" t="s">
        <v>23</v>
      </c>
      <c r="T377" s="14" t="s">
        <v>67</v>
      </c>
      <c r="U377" s="14" t="s">
        <v>118</v>
      </c>
      <c r="W377" s="14" t="s">
        <v>6</v>
      </c>
      <c r="X377" s="14" t="s">
        <v>23</v>
      </c>
      <c r="Y377" s="14" t="s">
        <v>137</v>
      </c>
      <c r="Z377" s="14" t="s">
        <v>32</v>
      </c>
      <c r="AA377" s="14" t="s">
        <v>32</v>
      </c>
      <c r="AB377" s="14" t="s">
        <v>32</v>
      </c>
      <c r="AC377" s="14" t="s">
        <v>38</v>
      </c>
      <c r="AJ377" s="14" t="s">
        <v>158</v>
      </c>
      <c r="AK377" s="14" t="s">
        <v>248</v>
      </c>
      <c r="AL377" s="14" t="s">
        <v>257</v>
      </c>
      <c r="AM377" s="14" t="s">
        <v>257</v>
      </c>
      <c r="AN377" s="14" t="s">
        <v>247</v>
      </c>
      <c r="AR377" s="14" t="s">
        <v>38</v>
      </c>
      <c r="AU377" s="14" t="s">
        <v>365</v>
      </c>
      <c r="BA377" s="14" t="s">
        <v>422</v>
      </c>
      <c r="BF377" s="14" t="s">
        <v>477</v>
      </c>
      <c r="BJ377" s="14" t="s">
        <v>495</v>
      </c>
      <c r="BN377" s="14" t="s">
        <v>581</v>
      </c>
      <c r="BO377" s="14" t="s">
        <v>581</v>
      </c>
      <c r="BP377" s="14" t="s">
        <v>581</v>
      </c>
      <c r="BQ377" s="14" t="s">
        <v>600</v>
      </c>
      <c r="BR377" s="14" t="s">
        <v>600</v>
      </c>
      <c r="BS377" s="14" t="s">
        <v>600</v>
      </c>
      <c r="BT377" s="14" t="s">
        <v>600</v>
      </c>
      <c r="BU377" s="14" t="s">
        <v>620</v>
      </c>
      <c r="BV377" s="14" t="s">
        <v>620</v>
      </c>
      <c r="BW377" s="14" t="s">
        <v>620</v>
      </c>
      <c r="CA377" s="14" t="s">
        <v>520</v>
      </c>
      <c r="CB377" s="14" t="s">
        <v>520</v>
      </c>
      <c r="CN377" s="14" t="s">
        <v>827</v>
      </c>
      <c r="CO377" s="14" t="s">
        <v>800</v>
      </c>
    </row>
    <row r="378" spans="1:94" s="14" customFormat="1" ht="15" customHeight="1" x14ac:dyDescent="0.25">
      <c r="A378" s="25" t="s">
        <v>40</v>
      </c>
      <c r="F378" s="14" t="s">
        <v>39</v>
      </c>
      <c r="L378" s="14" t="s">
        <v>73</v>
      </c>
      <c r="M378" s="14" t="s">
        <v>74</v>
      </c>
      <c r="N378" s="14" t="s">
        <v>23</v>
      </c>
      <c r="O378" s="14" t="s">
        <v>23</v>
      </c>
      <c r="Q378" s="14" t="s">
        <v>23</v>
      </c>
      <c r="R378" s="14" t="s">
        <v>103</v>
      </c>
      <c r="T378" s="14" t="s">
        <v>23</v>
      </c>
      <c r="X378" s="14" t="s">
        <v>24</v>
      </c>
      <c r="Y378" s="14" t="s">
        <v>138</v>
      </c>
      <c r="AC378" s="14" t="s">
        <v>39</v>
      </c>
      <c r="AJ378" s="14" t="s">
        <v>238</v>
      </c>
      <c r="AM378" s="14" t="s">
        <v>263</v>
      </c>
      <c r="AN378" s="14" t="s">
        <v>248</v>
      </c>
      <c r="AR378" s="14" t="s">
        <v>45</v>
      </c>
      <c r="AU378" s="14" t="s">
        <v>366</v>
      </c>
      <c r="BA378" s="14" t="s">
        <v>423</v>
      </c>
      <c r="BN378" s="14" t="s">
        <v>387</v>
      </c>
      <c r="BO378" s="14" t="s">
        <v>387</v>
      </c>
      <c r="BP378" s="14" t="s">
        <v>387</v>
      </c>
      <c r="BQ378" s="14" t="s">
        <v>387</v>
      </c>
      <c r="BR378" s="14" t="s">
        <v>387</v>
      </c>
      <c r="BS378" s="14" t="s">
        <v>387</v>
      </c>
      <c r="BT378" s="14" t="s">
        <v>387</v>
      </c>
      <c r="CA378" s="14" t="s">
        <v>522</v>
      </c>
      <c r="CB378" s="14" t="s">
        <v>522</v>
      </c>
      <c r="CO378" s="14" t="s">
        <v>838</v>
      </c>
    </row>
    <row r="379" spans="1:94" s="14" customFormat="1" ht="15" customHeight="1" x14ac:dyDescent="0.25">
      <c r="A379" s="25" t="s">
        <v>75</v>
      </c>
      <c r="L379" s="14" t="s">
        <v>74</v>
      </c>
      <c r="Y379" s="14" t="s">
        <v>118</v>
      </c>
      <c r="BA379" s="14" t="s">
        <v>424</v>
      </c>
      <c r="BN379" s="14" t="s">
        <v>781</v>
      </c>
      <c r="BO379" s="14" t="s">
        <v>781</v>
      </c>
      <c r="BP379" s="14" t="s">
        <v>592</v>
      </c>
      <c r="BQ379" s="14" t="s">
        <v>781</v>
      </c>
      <c r="BR379" s="14" t="s">
        <v>781</v>
      </c>
      <c r="BS379" s="14" t="s">
        <v>620</v>
      </c>
      <c r="BT379" s="14" t="s">
        <v>620</v>
      </c>
      <c r="CA379" s="14" t="s">
        <v>523</v>
      </c>
      <c r="CB379" s="14" t="s">
        <v>523</v>
      </c>
    </row>
    <row r="380" spans="1:94" s="14" customFormat="1" ht="15" customHeight="1" x14ac:dyDescent="0.25">
      <c r="A380" s="25" t="s">
        <v>189</v>
      </c>
      <c r="BP380" s="14" t="s">
        <v>781</v>
      </c>
      <c r="BS380" s="14" t="s">
        <v>627</v>
      </c>
      <c r="BT380" s="14" t="s">
        <v>627</v>
      </c>
      <c r="CA380" s="14" t="s">
        <v>181</v>
      </c>
      <c r="CB380" s="14" t="s">
        <v>181</v>
      </c>
    </row>
  </sheetData>
  <conditionalFormatting sqref="A1:A1048576">
    <cfRule type="duplicateValues" dxfId="0" priority="1"/>
  </conditionalFormatting>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bd-avec joint plats </vt:lpstr>
    </vt:vector>
  </TitlesOfParts>
  <Company>LATTY International S.A.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Lucas TOSIN PAESE</dc:creator>
  <cp:lastModifiedBy>Lucas TOSIN PAESE</cp:lastModifiedBy>
  <dcterms:created xsi:type="dcterms:W3CDTF">2025-06-26T07:17:24Z</dcterms:created>
  <dcterms:modified xsi:type="dcterms:W3CDTF">2025-11-18T10:53:12Z</dcterms:modified>
</cp:coreProperties>
</file>